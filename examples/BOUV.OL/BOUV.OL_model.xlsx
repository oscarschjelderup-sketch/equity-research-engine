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25ed27e3db279b7/Desktop/Private prosjekter/equity-research-engine/output/BOUV.OL/"/>
    </mc:Choice>
  </mc:AlternateContent>
  <xr:revisionPtr revIDLastSave="0" documentId="11_85A16193074F57B90237A96B42DE2B058110B635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ver" sheetId="1" r:id="rId1"/>
    <sheet name="Inputs" sheetId="2" r:id="rId2"/>
    <sheet name="Historicals" sheetId="3" r:id="rId3"/>
    <sheet name="Forecast" sheetId="4" r:id="rId4"/>
    <sheet name="WACC" sheetId="5" r:id="rId5"/>
    <sheet name="DCF" sheetId="6" r:id="rId6"/>
    <sheet name="Scenarios" sheetId="7" r:id="rId7"/>
    <sheet name="Peers" sheetId="8" r:id="rId8"/>
    <sheet name="Football field" sheetId="9" r:id="rId9"/>
    <sheet name="Check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0" l="1"/>
  <c r="B12" i="9"/>
  <c r="D5" i="9"/>
  <c r="B38" i="8"/>
  <c r="B39" i="8" s="1"/>
  <c r="E24" i="8"/>
  <c r="G22" i="8"/>
  <c r="H22" i="8" s="1"/>
  <c r="F22" i="8"/>
  <c r="B15" i="1" s="1"/>
  <c r="G21" i="8"/>
  <c r="H21" i="8" s="1"/>
  <c r="F21" i="8"/>
  <c r="B21" i="8"/>
  <c r="B22" i="8" s="1"/>
  <c r="U17" i="8"/>
  <c r="T17" i="8"/>
  <c r="S17" i="8"/>
  <c r="R17" i="8"/>
  <c r="Q17" i="8"/>
  <c r="P17" i="8"/>
  <c r="O17" i="8"/>
  <c r="N17" i="8"/>
  <c r="M17" i="8"/>
  <c r="L17" i="8"/>
  <c r="K17" i="8"/>
  <c r="C9" i="9" s="1"/>
  <c r="D9" i="9" s="1"/>
  <c r="J17" i="8"/>
  <c r="C8" i="9" s="1"/>
  <c r="D8" i="9" s="1"/>
  <c r="I17" i="8"/>
  <c r="C7" i="9" s="1"/>
  <c r="D7" i="9" s="1"/>
  <c r="H17" i="8"/>
  <c r="G17" i="8"/>
  <c r="F17" i="8"/>
  <c r="U16" i="8"/>
  <c r="T16" i="8"/>
  <c r="S16" i="8"/>
  <c r="R16" i="8"/>
  <c r="Q16" i="8"/>
  <c r="P16" i="8"/>
  <c r="O16" i="8"/>
  <c r="N16" i="8"/>
  <c r="M16" i="8"/>
  <c r="L16" i="8"/>
  <c r="K16" i="8"/>
  <c r="B9" i="9" s="1"/>
  <c r="J16" i="8"/>
  <c r="B8" i="9" s="1"/>
  <c r="I16" i="8"/>
  <c r="B7" i="9" s="1"/>
  <c r="H16" i="8"/>
  <c r="G16" i="8"/>
  <c r="F16" i="8"/>
  <c r="U15" i="8"/>
  <c r="T15" i="8"/>
  <c r="S15" i="8"/>
  <c r="R15" i="8"/>
  <c r="Q15" i="8"/>
  <c r="P15" i="8"/>
  <c r="O15" i="8"/>
  <c r="N15" i="8"/>
  <c r="M15" i="8"/>
  <c r="L15" i="8"/>
  <c r="K15" i="8"/>
  <c r="F24" i="8" s="1"/>
  <c r="J15" i="8"/>
  <c r="G23" i="8" s="1"/>
  <c r="H23" i="8" s="1"/>
  <c r="I15" i="8"/>
  <c r="H15" i="8"/>
  <c r="G15" i="8"/>
  <c r="F15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H45" i="7"/>
  <c r="G45" i="7"/>
  <c r="F45" i="7"/>
  <c r="E45" i="7"/>
  <c r="D45" i="7"/>
  <c r="C45" i="7"/>
  <c r="H43" i="7"/>
  <c r="G43" i="7"/>
  <c r="F43" i="7"/>
  <c r="E43" i="7"/>
  <c r="D43" i="7"/>
  <c r="C43" i="7"/>
  <c r="B42" i="7"/>
  <c r="H30" i="7"/>
  <c r="G30" i="7"/>
  <c r="F30" i="7"/>
  <c r="E30" i="7"/>
  <c r="D30" i="7"/>
  <c r="C30" i="7"/>
  <c r="H28" i="7"/>
  <c r="G28" i="7"/>
  <c r="F28" i="7"/>
  <c r="E28" i="7"/>
  <c r="D28" i="7"/>
  <c r="C28" i="7"/>
  <c r="B27" i="7"/>
  <c r="H15" i="7"/>
  <c r="G15" i="7"/>
  <c r="F15" i="7"/>
  <c r="E15" i="7"/>
  <c r="D15" i="7"/>
  <c r="C15" i="7"/>
  <c r="H13" i="7"/>
  <c r="G13" i="7"/>
  <c r="F13" i="7"/>
  <c r="E13" i="7"/>
  <c r="D13" i="7"/>
  <c r="C13" i="7"/>
  <c r="B12" i="7"/>
  <c r="B8" i="7"/>
  <c r="B12" i="10" s="1"/>
  <c r="H7" i="7"/>
  <c r="H6" i="7"/>
  <c r="H5" i="7"/>
  <c r="A44" i="6"/>
  <c r="A43" i="6"/>
  <c r="A42" i="6"/>
  <c r="A41" i="6"/>
  <c r="A40" i="6"/>
  <c r="A39" i="6"/>
  <c r="A38" i="6"/>
  <c r="B28" i="6"/>
  <c r="B22" i="6"/>
  <c r="B20" i="6"/>
  <c r="B18" i="6"/>
  <c r="B17" i="6"/>
  <c r="B11" i="6"/>
  <c r="G6" i="6"/>
  <c r="F6" i="6"/>
  <c r="E6" i="6"/>
  <c r="D6" i="6"/>
  <c r="C6" i="6"/>
  <c r="B6" i="6"/>
  <c r="B14" i="5"/>
  <c r="B13" i="5"/>
  <c r="B16" i="5" s="1"/>
  <c r="B11" i="5"/>
  <c r="B10" i="5"/>
  <c r="B8" i="5"/>
  <c r="B7" i="5"/>
  <c r="B6" i="5"/>
  <c r="B5" i="5"/>
  <c r="B9" i="5" s="1"/>
  <c r="B27" i="6" s="1"/>
  <c r="B18" i="4"/>
  <c r="H17" i="4"/>
  <c r="I17" i="4" s="1"/>
  <c r="G17" i="4"/>
  <c r="F17" i="4"/>
  <c r="E17" i="4"/>
  <c r="D17" i="4"/>
  <c r="C17" i="4"/>
  <c r="B16" i="4"/>
  <c r="H15" i="4"/>
  <c r="I15" i="4" s="1"/>
  <c r="G15" i="4"/>
  <c r="F15" i="4"/>
  <c r="E15" i="4"/>
  <c r="D15" i="4"/>
  <c r="C15" i="4"/>
  <c r="H9" i="4"/>
  <c r="I9" i="4" s="1"/>
  <c r="G9" i="4"/>
  <c r="F9" i="4"/>
  <c r="E9" i="4"/>
  <c r="D9" i="4"/>
  <c r="C9" i="4"/>
  <c r="H7" i="4"/>
  <c r="I7" i="4" s="1"/>
  <c r="G7" i="4"/>
  <c r="F7" i="4"/>
  <c r="E7" i="4"/>
  <c r="D7" i="4"/>
  <c r="C7" i="4"/>
  <c r="B6" i="4"/>
  <c r="B10" i="10" s="1"/>
  <c r="I5" i="4"/>
  <c r="H5" i="4"/>
  <c r="G5" i="4"/>
  <c r="F5" i="4"/>
  <c r="E5" i="4"/>
  <c r="D5" i="4"/>
  <c r="C5" i="4"/>
  <c r="D28" i="3"/>
  <c r="C28" i="3"/>
  <c r="B28" i="3"/>
  <c r="E13" i="3"/>
  <c r="D13" i="3"/>
  <c r="D14" i="3" s="1"/>
  <c r="C13" i="3"/>
  <c r="C14" i="3" s="1"/>
  <c r="B13" i="3"/>
  <c r="B14" i="3" s="1"/>
  <c r="E9" i="3"/>
  <c r="B8" i="4" s="1"/>
  <c r="B7" i="4" s="1"/>
  <c r="D9" i="3"/>
  <c r="D10" i="3" s="1"/>
  <c r="C9" i="3"/>
  <c r="C10" i="3" s="1"/>
  <c r="B9" i="3"/>
  <c r="B10" i="3" s="1"/>
  <c r="E6" i="3"/>
  <c r="D6" i="3"/>
  <c r="C6" i="3"/>
  <c r="B13" i="1"/>
  <c r="B4" i="1"/>
  <c r="B12" i="5" l="1"/>
  <c r="E10" i="3"/>
  <c r="B44" i="7"/>
  <c r="C44" i="7" s="1"/>
  <c r="B29" i="7"/>
  <c r="C29" i="7" s="1"/>
  <c r="E28" i="3"/>
  <c r="B14" i="7"/>
  <c r="C14" i="7" s="1"/>
  <c r="C52" i="7"/>
  <c r="C46" i="7"/>
  <c r="C51" i="7"/>
  <c r="C47" i="7"/>
  <c r="D44" i="7"/>
  <c r="C36" i="7"/>
  <c r="D29" i="7"/>
  <c r="C37" i="7"/>
  <c r="C31" i="7"/>
  <c r="C32" i="7"/>
  <c r="B10" i="9"/>
  <c r="B40" i="8"/>
  <c r="C10" i="9"/>
  <c r="B10" i="4"/>
  <c r="E14" i="3"/>
  <c r="B17" i="3"/>
  <c r="B20" i="3" s="1"/>
  <c r="B21" i="3" s="1"/>
  <c r="B15" i="3"/>
  <c r="D17" i="3"/>
  <c r="D20" i="3" s="1"/>
  <c r="D21" i="3" s="1"/>
  <c r="D15" i="3"/>
  <c r="E22" i="8"/>
  <c r="B14" i="1" s="1"/>
  <c r="E23" i="8"/>
  <c r="D14" i="7"/>
  <c r="C17" i="7"/>
  <c r="C21" i="7"/>
  <c r="C22" i="7"/>
  <c r="C16" i="7"/>
  <c r="C18" i="7" s="1"/>
  <c r="C17" i="3"/>
  <c r="C20" i="3" s="1"/>
  <c r="C21" i="3" s="1"/>
  <c r="C15" i="3"/>
  <c r="E21" i="8"/>
  <c r="C6" i="4"/>
  <c r="G24" i="8"/>
  <c r="H24" i="8" s="1"/>
  <c r="B15" i="5"/>
  <c r="F23" i="8"/>
  <c r="D10" i="9" l="1"/>
  <c r="E15" i="3"/>
  <c r="E17" i="3"/>
  <c r="B11" i="4"/>
  <c r="D37" i="7"/>
  <c r="D31" i="7"/>
  <c r="D36" i="7"/>
  <c r="E29" i="7"/>
  <c r="D32" i="7"/>
  <c r="C19" i="7"/>
  <c r="C20" i="7" s="1"/>
  <c r="C23" i="7" s="1"/>
  <c r="B17" i="5"/>
  <c r="B11" i="10"/>
  <c r="D6" i="4"/>
  <c r="C8" i="4"/>
  <c r="C11" i="4" s="1"/>
  <c r="C10" i="4"/>
  <c r="C16" i="4"/>
  <c r="E14" i="7"/>
  <c r="D21" i="7"/>
  <c r="D17" i="7"/>
  <c r="D16" i="7"/>
  <c r="D18" i="7" s="1"/>
  <c r="D22" i="7"/>
  <c r="C18" i="4"/>
  <c r="D52" i="7"/>
  <c r="D46" i="7"/>
  <c r="D51" i="7"/>
  <c r="D47" i="7"/>
  <c r="E44" i="7"/>
  <c r="C33" i="7"/>
  <c r="C48" i="7"/>
  <c r="C13" i="4" l="1"/>
  <c r="C12" i="4"/>
  <c r="C14" i="4"/>
  <c r="C19" i="4" s="1"/>
  <c r="C34" i="7"/>
  <c r="C35" i="7" s="1"/>
  <c r="C38" i="7" s="1"/>
  <c r="H37" i="6"/>
  <c r="G37" i="6"/>
  <c r="G7" i="6"/>
  <c r="B12" i="6"/>
  <c r="F37" i="6"/>
  <c r="F7" i="6"/>
  <c r="C7" i="6"/>
  <c r="B5" i="10"/>
  <c r="E37" i="6"/>
  <c r="E7" i="6"/>
  <c r="G7" i="7"/>
  <c r="G6" i="7"/>
  <c r="D37" i="6"/>
  <c r="D7" i="6"/>
  <c r="C37" i="6"/>
  <c r="B37" i="6"/>
  <c r="B7" i="6"/>
  <c r="G5" i="7"/>
  <c r="B12" i="1"/>
  <c r="E52" i="7"/>
  <c r="E46" i="7"/>
  <c r="E51" i="7"/>
  <c r="F44" i="7"/>
  <c r="E47" i="7"/>
  <c r="D48" i="7"/>
  <c r="D33" i="7"/>
  <c r="E21" i="7"/>
  <c r="E17" i="7"/>
  <c r="F14" i="7"/>
  <c r="E22" i="7"/>
  <c r="E16" i="7"/>
  <c r="D8" i="4"/>
  <c r="D10" i="4"/>
  <c r="E6" i="4"/>
  <c r="D16" i="4"/>
  <c r="D18" i="4"/>
  <c r="C49" i="7"/>
  <c r="C50" i="7" s="1"/>
  <c r="C53" i="7" s="1"/>
  <c r="E32" i="7"/>
  <c r="E36" i="7"/>
  <c r="F29" i="7"/>
  <c r="E37" i="7"/>
  <c r="E31" i="7"/>
  <c r="E33" i="7" s="1"/>
  <c r="D19" i="7"/>
  <c r="D20" i="7" s="1"/>
  <c r="D23" i="7" s="1"/>
  <c r="E20" i="3"/>
  <c r="B14" i="4"/>
  <c r="B19" i="4" l="1"/>
  <c r="E21" i="3"/>
  <c r="D34" i="7"/>
  <c r="D35" i="7"/>
  <c r="D38" i="7" s="1"/>
  <c r="E8" i="4"/>
  <c r="E10" i="4"/>
  <c r="E16" i="4"/>
  <c r="F6" i="4"/>
  <c r="E18" i="4"/>
  <c r="F21" i="7"/>
  <c r="G14" i="7"/>
  <c r="F17" i="7"/>
  <c r="F22" i="7"/>
  <c r="F16" i="7"/>
  <c r="F18" i="7" s="1"/>
  <c r="E34" i="7"/>
  <c r="E35" i="7" s="1"/>
  <c r="E38" i="7" s="1"/>
  <c r="D49" i="7"/>
  <c r="D50" i="7" s="1"/>
  <c r="D53" i="7" s="1"/>
  <c r="G29" i="7"/>
  <c r="F36" i="7"/>
  <c r="F32" i="7"/>
  <c r="F37" i="7"/>
  <c r="F31" i="7"/>
  <c r="F33" i="7" s="1"/>
  <c r="F52" i="7"/>
  <c r="F46" i="7"/>
  <c r="G44" i="7"/>
  <c r="F47" i="7"/>
  <c r="F51" i="7"/>
  <c r="E48" i="7"/>
  <c r="B5" i="6"/>
  <c r="B8" i="6" s="1"/>
  <c r="C20" i="4"/>
  <c r="D11" i="4"/>
  <c r="E18" i="7"/>
  <c r="H44" i="7" l="1"/>
  <c r="G47" i="7"/>
  <c r="G51" i="7"/>
  <c r="G52" i="7"/>
  <c r="G46" i="7"/>
  <c r="F48" i="7"/>
  <c r="G36" i="7"/>
  <c r="G32" i="7"/>
  <c r="H29" i="7"/>
  <c r="G31" i="7"/>
  <c r="G33" i="7" s="1"/>
  <c r="G37" i="7"/>
  <c r="E19" i="7"/>
  <c r="E20" i="7" s="1"/>
  <c r="E23" i="7" s="1"/>
  <c r="E49" i="7"/>
  <c r="E50" i="7" s="1"/>
  <c r="E53" i="7" s="1"/>
  <c r="F8" i="4"/>
  <c r="F10" i="4"/>
  <c r="F16" i="4"/>
  <c r="F18" i="4"/>
  <c r="G6" i="4"/>
  <c r="D12" i="4"/>
  <c r="D14" i="4"/>
  <c r="D19" i="4" s="1"/>
  <c r="D13" i="4"/>
  <c r="E11" i="4"/>
  <c r="G21" i="7"/>
  <c r="H14" i="7"/>
  <c r="G17" i="7"/>
  <c r="G16" i="7"/>
  <c r="G18" i="7" s="1"/>
  <c r="G22" i="7"/>
  <c r="F34" i="7"/>
  <c r="F35" i="7" s="1"/>
  <c r="F38" i="7" s="1"/>
  <c r="F19" i="7"/>
  <c r="F20" i="7" s="1"/>
  <c r="F23" i="7" s="1"/>
  <c r="G48" i="7" l="1"/>
  <c r="H21" i="7"/>
  <c r="H17" i="7"/>
  <c r="H22" i="7"/>
  <c r="H16" i="7"/>
  <c r="E13" i="4"/>
  <c r="E14" i="4" s="1"/>
  <c r="E19" i="4" s="1"/>
  <c r="E12" i="4"/>
  <c r="F49" i="7"/>
  <c r="F50" i="7" s="1"/>
  <c r="F53" i="7" s="1"/>
  <c r="G49" i="7"/>
  <c r="G50" i="7" s="1"/>
  <c r="G53" i="7" s="1"/>
  <c r="G19" i="7"/>
  <c r="G20" i="7" s="1"/>
  <c r="G23" i="7" s="1"/>
  <c r="C5" i="6"/>
  <c r="D20" i="4"/>
  <c r="G34" i="7"/>
  <c r="G35" i="7" s="1"/>
  <c r="G38" i="7" s="1"/>
  <c r="F11" i="4"/>
  <c r="H36" i="7"/>
  <c r="H32" i="7"/>
  <c r="H37" i="7"/>
  <c r="H31" i="7"/>
  <c r="H51" i="7"/>
  <c r="H47" i="7"/>
  <c r="H46" i="7"/>
  <c r="H48" i="7" s="1"/>
  <c r="H52" i="7"/>
  <c r="G10" i="4"/>
  <c r="G16" i="4"/>
  <c r="G8" i="4"/>
  <c r="G11" i="4" s="1"/>
  <c r="H6" i="4"/>
  <c r="G18" i="4"/>
  <c r="H18" i="7" l="1"/>
  <c r="H33" i="7"/>
  <c r="C8" i="6"/>
  <c r="H49" i="7"/>
  <c r="H50" i="7" s="1"/>
  <c r="H53" i="7" s="1"/>
  <c r="B54" i="7" s="1"/>
  <c r="B55" i="7" s="1"/>
  <c r="I7" i="7" s="1"/>
  <c r="J7" i="7" s="1"/>
  <c r="H19" i="7"/>
  <c r="H20" i="7" s="1"/>
  <c r="H23" i="7" s="1"/>
  <c r="B24" i="7" s="1"/>
  <c r="B25" i="7" s="1"/>
  <c r="I5" i="7" s="1"/>
  <c r="H16" i="4"/>
  <c r="H10" i="4"/>
  <c r="I6" i="4"/>
  <c r="H18" i="4"/>
  <c r="H8" i="4"/>
  <c r="H11" i="4" s="1"/>
  <c r="F12" i="4"/>
  <c r="F13" i="4"/>
  <c r="F14" i="4" s="1"/>
  <c r="F19" i="4" s="1"/>
  <c r="G12" i="4"/>
  <c r="G13" i="4"/>
  <c r="G14" i="4" s="1"/>
  <c r="G19" i="4" s="1"/>
  <c r="D5" i="6"/>
  <c r="D8" i="6" s="1"/>
  <c r="E20" i="4"/>
  <c r="H34" i="7"/>
  <c r="H35" i="7" s="1"/>
  <c r="H38" i="7" s="1"/>
  <c r="B39" i="7" s="1"/>
  <c r="B40" i="7" s="1"/>
  <c r="I6" i="7" s="1"/>
  <c r="G20" i="4" l="1"/>
  <c r="F5" i="6"/>
  <c r="F8" i="6" s="1"/>
  <c r="J6" i="7"/>
  <c r="F20" i="4"/>
  <c r="E5" i="6"/>
  <c r="I8" i="7"/>
  <c r="J5" i="7"/>
  <c r="H12" i="4"/>
  <c r="H13" i="4"/>
  <c r="H14" i="4" s="1"/>
  <c r="H19" i="4" s="1"/>
  <c r="I10" i="4"/>
  <c r="I16" i="4"/>
  <c r="I18" i="4"/>
  <c r="I8" i="4"/>
  <c r="I11" i="4" s="1"/>
  <c r="H20" i="4" l="1"/>
  <c r="G5" i="6"/>
  <c r="E40" i="6"/>
  <c r="J8" i="7"/>
  <c r="B6" i="1"/>
  <c r="E8" i="6"/>
  <c r="B38" i="6"/>
  <c r="F40" i="6"/>
  <c r="H40" i="6"/>
  <c r="I12" i="4"/>
  <c r="I13" i="4"/>
  <c r="I14" i="4" s="1"/>
  <c r="I19" i="4" s="1"/>
  <c r="I20" i="4" s="1"/>
  <c r="B13" i="6" l="1"/>
  <c r="B14" i="6" s="1"/>
  <c r="G8" i="6"/>
  <c r="E42" i="6"/>
  <c r="E38" i="6"/>
  <c r="E43" i="6"/>
  <c r="F39" i="6"/>
  <c r="H39" i="6"/>
  <c r="F43" i="6"/>
  <c r="F42" i="6"/>
  <c r="D39" i="6"/>
  <c r="H41" i="6"/>
  <c r="D40" i="6"/>
  <c r="G39" i="6"/>
  <c r="D38" i="6"/>
  <c r="B43" i="6"/>
  <c r="F44" i="6"/>
  <c r="G44" i="6"/>
  <c r="C41" i="6"/>
  <c r="B44" i="6"/>
  <c r="G38" i="6"/>
  <c r="C43" i="6"/>
  <c r="B39" i="6"/>
  <c r="H42" i="6"/>
  <c r="B40" i="6"/>
  <c r="E44" i="6"/>
  <c r="H43" i="6"/>
  <c r="H44" i="6"/>
  <c r="F38" i="6"/>
  <c r="G41" i="6"/>
  <c r="C40" i="6"/>
  <c r="D41" i="6"/>
  <c r="E41" i="6"/>
  <c r="G43" i="6"/>
  <c r="D43" i="6"/>
  <c r="G42" i="6"/>
  <c r="C38" i="6"/>
  <c r="B42" i="6"/>
  <c r="E39" i="6"/>
  <c r="B41" i="6"/>
  <c r="C42" i="6"/>
  <c r="D44" i="6"/>
  <c r="C44" i="6"/>
  <c r="D42" i="6"/>
  <c r="C39" i="6"/>
  <c r="H38" i="6"/>
  <c r="B10" i="6"/>
  <c r="F41" i="6"/>
  <c r="G40" i="6"/>
  <c r="B6" i="9" l="1"/>
  <c r="C6" i="9"/>
  <c r="B15" i="6"/>
  <c r="B16" i="6" s="1"/>
  <c r="B25" i="6"/>
  <c r="B6" i="10" l="1"/>
  <c r="B19" i="6"/>
  <c r="B24" i="6"/>
  <c r="B14" i="10" s="1"/>
  <c r="D6" i="9"/>
  <c r="B21" i="6" l="1"/>
  <c r="B7" i="10"/>
  <c r="B23" i="6" l="1"/>
  <c r="B5" i="1"/>
  <c r="B26" i="6"/>
  <c r="B9" i="10"/>
  <c r="B8" i="10"/>
  <c r="B29" i="6" l="1"/>
  <c r="B30" i="6" s="1"/>
  <c r="B31" i="6" l="1"/>
  <c r="B8" i="1" s="1"/>
  <c r="B7" i="1"/>
  <c r="B32" i="6"/>
  <c r="B13" i="9"/>
  <c r="B9" i="1" l="1"/>
  <c r="B33" i="6"/>
  <c r="B10" i="1" l="1"/>
  <c r="B14" i="9"/>
  <c r="B15" i="10"/>
  <c r="B17" i="10" s="1"/>
  <c r="B11" i="1" s="1"/>
</calcChain>
</file>

<file path=xl/sharedStrings.xml><?xml version="1.0" encoding="utf-8"?>
<sst xmlns="http://schemas.openxmlformats.org/spreadsheetml/2006/main" count="410" uniqueCount="280">
  <si>
    <t>Bouvet ASA (BOUV.OL) – valuation model</t>
  </si>
  <si>
    <t>Generated by Equity Research Engine on 2026-09-23</t>
  </si>
  <si>
    <t>Share price (NOK)</t>
  </si>
  <si>
    <t>DCF fair value per share (NOK)</t>
  </si>
  <si>
    <t>Probability-weighted scenario value (NOK)</t>
  </si>
  <si>
    <t>Target price (NOK)</t>
  </si>
  <si>
    <t>Upside to target price</t>
  </si>
  <si>
    <t>Expected total return</t>
  </si>
  <si>
    <t>Rating</t>
  </si>
  <si>
    <t>Model checks</t>
  </si>
  <si>
    <t>WACC</t>
  </si>
  <si>
    <t>Terminal growth</t>
  </si>
  <si>
    <t>EV/EBITDA (LTM)</t>
  </si>
  <si>
    <t>Peer median EV/EBITDA</t>
  </si>
  <si>
    <t>Legend</t>
  </si>
  <si>
    <t>Blue text = hard-coded input (edit these)</t>
  </si>
  <si>
    <t>Black text = formula</t>
  </si>
  <si>
    <t>Green text = link to another sheet</t>
  </si>
  <si>
    <t>Yellow fill = key assumption</t>
  </si>
  <si>
    <t>Sheets: Inputs -&gt; Historicals -&gt; Forecast -&gt; WACC -&gt; DCF -&gt; Peers -&gt; Football field</t>
  </si>
  <si>
    <t>Lease treatment: operating. Sources: Company reports, Yahoo Finance, Equity Research Engine estimates</t>
  </si>
  <si>
    <t>Bouvet ASA – model inputs</t>
  </si>
  <si>
    <t>All figures in NOKm unless stated. Blue = input, black = formula, green = link.</t>
  </si>
  <si>
    <t>Market data</t>
  </si>
  <si>
    <t>Value</t>
  </si>
  <si>
    <t>Source / note</t>
  </si>
  <si>
    <t>Yahoo Finance close</t>
  </si>
  <si>
    <t>FX: NOK per NOK</t>
  </si>
  <si>
    <t>1.0 when the company reports in its listing currency</t>
  </si>
  <si>
    <t>Shares outstanding (m)</t>
  </si>
  <si>
    <t>Yahoo Finance</t>
  </si>
  <si>
    <t>Net debt</t>
  </si>
  <si>
    <t>Balance sheet 30.06.2026 (ex leases)</t>
  </si>
  <si>
    <t>Minority interest</t>
  </si>
  <si>
    <t>Balance sheet 30.06.2026</t>
  </si>
  <si>
    <t>Tax rate</t>
  </si>
  <si>
    <t>config</t>
  </si>
  <si>
    <t>Config</t>
  </si>
  <si>
    <t>Risk-free rate</t>
  </si>
  <si>
    <t>Equity risk premium</t>
  </si>
  <si>
    <t>Beta (adjusted)</t>
  </si>
  <si>
    <t>Yahoo Finance (5y monthly); regression vs OSEBX rejected (R2=0.01 &lt; 0.10), Blume-adjusted</t>
  </si>
  <si>
    <t>Size premium</t>
  </si>
  <si>
    <t>size premium 1.50% (market cap USD 0.5bn)</t>
  </si>
  <si>
    <t>Cost of debt (pre-tax)</t>
  </si>
  <si>
    <t>risk-free + 200bp</t>
  </si>
  <si>
    <t>Gross debt for WACC weights</t>
  </si>
  <si>
    <t>Latest balance sheet</t>
  </si>
  <si>
    <t>Mid-year convention (1 = yes)</t>
  </si>
  <si>
    <t>Years from FY-end to valuation date</t>
  </si>
  <si>
    <t>Valuation date 23.09.2026; last fiscal year-end 31.12.2025</t>
  </si>
  <si>
    <t>Years from FY-end to balance sheet</t>
  </si>
  <si>
    <t>Net debt as at 30.06.2026: year-1 cash flow before that date is already in net debt</t>
  </si>
  <si>
    <t>Terminal method (1 = value driver)</t>
  </si>
  <si>
    <t>0 = Gordon growth on FCF; 1 = NOPAT x (1 - g/RONIC) / (WACC - g)</t>
  </si>
  <si>
    <t>RONIC (value driver only)</t>
  </si>
  <si>
    <t>Return on new invested capital</t>
  </si>
  <si>
    <t>Expected dividend per share (NOK)</t>
  </si>
  <si>
    <t>Indicated annual dividend (Yahoo Finance)</t>
  </si>
  <si>
    <t>Roll-forward months</t>
  </si>
  <si>
    <t>12 = twelve-month target price; 0 = fair value today</t>
  </si>
  <si>
    <t>Target price rounding</t>
  </si>
  <si>
    <t>Weight on DCF in fair value</t>
  </si>
  <si>
    <t>1 = pure DCF (tp_method: dcf); below 1 blends in the peer-multiple value</t>
  </si>
  <si>
    <t>Peer-multiple value per share (NOK)</t>
  </si>
  <si>
    <t>Median of the multiple-implied values (engine)</t>
  </si>
  <si>
    <t>BUY threshold (total return)</t>
  </si>
  <si>
    <t>SELL threshold (total return)</t>
  </si>
  <si>
    <t>Forecast drivers</t>
  </si>
  <si>
    <t>2026E</t>
  </si>
  <si>
    <t>2027E</t>
  </si>
  <si>
    <t>2028E</t>
  </si>
  <si>
    <t>2029E</t>
  </si>
  <si>
    <t>2030E</t>
  </si>
  <si>
    <t>2031E</t>
  </si>
  <si>
    <t>Revenue growth</t>
  </si>
  <si>
    <t>EBITDA margin</t>
  </si>
  <si>
    <t>D&amp;A % of revenue</t>
  </si>
  <si>
    <t>Capex % of revenue</t>
  </si>
  <si>
    <t>Net working capital % of revenue</t>
  </si>
  <si>
    <t>Notes: Revenue growth anchored on consensus (2 analysts), fading linearly to 2.0% terminal growth. EBITDA margin held near the 3-year average of 13.6%. Net working capital held at -7.0% of revenue (3-year average from the balance sheet).</t>
  </si>
  <si>
    <t>Lease treatment: operating (lease rate 4.50%). Growth anchor: consensus (2 analysts).</t>
  </si>
  <si>
    <t>Bouvet ASA – historical financials (NOKm)</t>
  </si>
  <si>
    <t>Source: company reports via Yahoo Finance; lease adjustments per methodology.</t>
  </si>
  <si>
    <t>NOKm</t>
  </si>
  <si>
    <t>2022A</t>
  </si>
  <si>
    <t>2023A</t>
  </si>
  <si>
    <t>2024A</t>
  </si>
  <si>
    <t>2025A</t>
  </si>
  <si>
    <t>Revenue</t>
  </si>
  <si>
    <t>Growth</t>
  </si>
  <si>
    <t>EBITDA (reported)</t>
  </si>
  <si>
    <t>Lease cost (rent)</t>
  </si>
  <si>
    <t>EBITDA</t>
  </si>
  <si>
    <t>D&amp;A (reported)</t>
  </si>
  <si>
    <t>Right-of-use depreciation</t>
  </si>
  <si>
    <t>D&amp;A</t>
  </si>
  <si>
    <t>EBIT</t>
  </si>
  <si>
    <t>EBIT margin</t>
  </si>
  <si>
    <t>Tax rate (effective, used)</t>
  </si>
  <si>
    <t>NOPAT</t>
  </si>
  <si>
    <t>Capex</t>
  </si>
  <si>
    <t>Change in NWC</t>
  </si>
  <si>
    <t>Unlevered FCF</t>
  </si>
  <si>
    <t>FCF margin</t>
  </si>
  <si>
    <t>Net income</t>
  </si>
  <si>
    <t>Diluted EPS</t>
  </si>
  <si>
    <t>Cash</t>
  </si>
  <si>
    <t>Total debt (incl. leases)</t>
  </si>
  <si>
    <t>Lease liabilities</t>
  </si>
  <si>
    <t>Net debt (model basis)</t>
  </si>
  <si>
    <t>Net debt / EBITDA</t>
  </si>
  <si>
    <t>Interest expense (ex leases)</t>
  </si>
  <si>
    <t>Bouvet ASA – forecast (NOKm)</t>
  </si>
  <si>
    <t>Formulas reference the Inputs sheet; last actual year is linked from Historicals.</t>
  </si>
  <si>
    <t>Terminal</t>
  </si>
  <si>
    <t>Tax</t>
  </si>
  <si>
    <t>Cost of capital</t>
  </si>
  <si>
    <t>CAPM cost of equity, after-tax cost of debt, market-value weights.</t>
  </si>
  <si>
    <t>Component</t>
  </si>
  <si>
    <t>Cost of equity</t>
  </si>
  <si>
    <t>Cost of debt (after tax)</t>
  </si>
  <si>
    <t>Equity value (market cap)</t>
  </si>
  <si>
    <t>Debt value</t>
  </si>
  <si>
    <t>Weight of equity</t>
  </si>
  <si>
    <t>Weight of debt</t>
  </si>
  <si>
    <t>Cross-check: bottom-up beta from the peer group (Hamada, tax at the corporate rate)</t>
  </si>
  <si>
    <t>Median unlevered peer beta</t>
  </si>
  <si>
    <t>Relevered at the target's D/E of 0.00</t>
  </si>
  <si>
    <t>Blume-adjusted (compare with B6)</t>
  </si>
  <si>
    <t>Peers with a usable beta</t>
  </si>
  <si>
    <t>Bouvet ASA – DCF valuation (NOKm)</t>
  </si>
  <si>
    <t>Unlevered FCF discounted at WACC; Gordon growth terminal value.</t>
  </si>
  <si>
    <t>Year</t>
  </si>
  <si>
    <t>Discount period (years from valuation date)</t>
  </si>
  <si>
    <t>Discount factor</t>
  </si>
  <si>
    <t>PV of FCF (year 1: after the balance-sheet date)</t>
  </si>
  <si>
    <t>Sum of PV of FCF</t>
  </si>
  <si>
    <t>Terminal cash flow (year N+1)</t>
  </si>
  <si>
    <t>Terminal value</t>
  </si>
  <si>
    <t>PV of terminal value</t>
  </si>
  <si>
    <t>Enterprise value</t>
  </si>
  <si>
    <t>Less: net debt</t>
  </si>
  <si>
    <t>Less: minority interest</t>
  </si>
  <si>
    <t>Equity value</t>
  </si>
  <si>
    <t>Fair value per share, DCF (NOK)</t>
  </si>
  <si>
    <t>Current share price (NOK)</t>
  </si>
  <si>
    <t>Upside / (downside) to fair value</t>
  </si>
  <si>
    <t>Terminal value as % of EV</t>
  </si>
  <si>
    <t>Implied exit EV/EBITDA</t>
  </si>
  <si>
    <t>Fair value used for the target price</t>
  </si>
  <si>
    <t>Target price before rounding</t>
  </si>
  <si>
    <t>Expected total return (incl. dividend)</t>
  </si>
  <si>
    <t>Sensitivity: value per share (rows = terminal growth, columns = WACC)</t>
  </si>
  <si>
    <t>g \ WACC</t>
  </si>
  <si>
    <t>Scenario analysis</t>
  </si>
  <si>
    <t>Shifts are additive to the base case (Inputs sheet). Edit the blue cells; every scenario re-runs the full forecast.</t>
  </si>
  <si>
    <t>Scenario</t>
  </si>
  <si>
    <t>Probability</t>
  </si>
  <si>
    <t>Growth shift</t>
  </si>
  <si>
    <t>Margin shift</t>
  </si>
  <si>
    <t>WACC shift</t>
  </si>
  <si>
    <t>Terminal g shift</t>
  </si>
  <si>
    <t>Value per share (NOK)</t>
  </si>
  <si>
    <t>vs price</t>
  </si>
  <si>
    <t>Bear</t>
  </si>
  <si>
    <t>Base</t>
  </si>
  <si>
    <t>Bull</t>
  </si>
  <si>
    <t>Probability-weighted</t>
  </si>
  <si>
    <t>Bear case (NOKm)</t>
  </si>
  <si>
    <t>Base case (NOKm)</t>
  </si>
  <si>
    <t>Bull case (NOKm)</t>
  </si>
  <si>
    <t>Peer multiples</t>
  </si>
  <si>
    <t>LTM figures where the quarters are reported (else the last fiscal year); EV = market cap today + latest net debt, same lease basis as the target company; P/E on trailing twelve-month EPS.</t>
  </si>
  <si>
    <t>Company</t>
  </si>
  <si>
    <t>Ticker</t>
  </si>
  <si>
    <t>Group</t>
  </si>
  <si>
    <t>Market cap (NOKm)</t>
  </si>
  <si>
    <t>EV (NOKm)</t>
  </si>
  <si>
    <t>Rev. growth</t>
  </si>
  <si>
    <t>EV/Sales</t>
  </si>
  <si>
    <t>EV/EBITDA</t>
  </si>
  <si>
    <t>EV/EBIT</t>
  </si>
  <si>
    <t>P/E</t>
  </si>
  <si>
    <t>P/E (NTM)</t>
  </si>
  <si>
    <t>EV/Sales (NTM)</t>
  </si>
  <si>
    <t>EV/EBITDA (NTM*)</t>
  </si>
  <si>
    <t>P/E (FY0)</t>
  </si>
  <si>
    <t>P/E (FY1)</t>
  </si>
  <si>
    <t>Growth FY1</t>
  </si>
  <si>
    <t>EPS growth</t>
  </si>
  <si>
    <t>PEG</t>
  </si>
  <si>
    <t>FCF yield</t>
  </si>
  <si>
    <t>Div. yield</t>
  </si>
  <si>
    <t>Knowit</t>
  </si>
  <si>
    <t>KNOW.ST</t>
  </si>
  <si>
    <t>Nordic IT services</t>
  </si>
  <si>
    <t>Tietoevry</t>
  </si>
  <si>
    <t>TIETO.HE</t>
  </si>
  <si>
    <t>Netcompany</t>
  </si>
  <si>
    <t>NETC.CO</t>
  </si>
  <si>
    <t>Atea</t>
  </si>
  <si>
    <t>ATEA.OL</t>
  </si>
  <si>
    <t>Sopra Steria</t>
  </si>
  <si>
    <t>SOP.PA</t>
  </si>
  <si>
    <t>European IT services</t>
  </si>
  <si>
    <t>Capgemini</t>
  </si>
  <si>
    <t>CAP.PA</t>
  </si>
  <si>
    <t>Reply</t>
  </si>
  <si>
    <t>REY.MI</t>
  </si>
  <si>
    <t>Accenture</t>
  </si>
  <si>
    <t>ACN</t>
  </si>
  <si>
    <t>Global IT services</t>
  </si>
  <si>
    <t>Average</t>
  </si>
  <si>
    <t>Median</t>
  </si>
  <si>
    <t>25th percentile</t>
  </si>
  <si>
    <t>75th percentile</t>
  </si>
  <si>
    <t>Bouvet – current multiples and implied value</t>
  </si>
  <si>
    <t>Multiple</t>
  </si>
  <si>
    <t>Bouvet</t>
  </si>
  <si>
    <t>Peer median</t>
  </si>
  <si>
    <t>Implied value/share (NOK)</t>
  </si>
  <si>
    <t>Market cap</t>
  </si>
  <si>
    <t>Revenue (LTM Jun 2026)</t>
  </si>
  <si>
    <t>EBITDA (LTM Jun 2026)</t>
  </si>
  <si>
    <t>EBIT (LTM Jun 2026)</t>
  </si>
  <si>
    <t>EPS, trailing 12 months (NOK)</t>
  </si>
  <si>
    <t>Income figures: sum of the four quarters to Jun 2026. Net debt: balance sheet 30.06.2026. EPS: Yahoo Finance trailing twelve months, the same basis as the peers' P/E. * EV/EBITDA (NTM) = EV over NTM consensus revenue at the LTM margin (no EBITDA consensus on Yahoo).</t>
  </si>
  <si>
    <t>EV/EBITDA regression on the peers above (engine OLS with an intercept; coefficients are inputs, the fitted value is live)</t>
  </si>
  <si>
    <t>Intercept</t>
  </si>
  <si>
    <t>Coefficient: expected revenue growth</t>
  </si>
  <si>
    <t>Coefficient: EBITDA margin</t>
  </si>
  <si>
    <t>R²</t>
  </si>
  <si>
    <t>Residual standard deviation (x)</t>
  </si>
  <si>
    <t>Peers in the regression</t>
  </si>
  <si>
    <t>Bouvet expected revenue growth</t>
  </si>
  <si>
    <t>Bouvet EBITDA margin (LTM)</t>
  </si>
  <si>
    <t>Fitted EV/EBITDA</t>
  </si>
  <si>
    <t>R² 0.38: used as a football-field bar (±1 residual standard deviation)</t>
  </si>
  <si>
    <t>Regression-implied value per share (NOK)</t>
  </si>
  <si>
    <t>Valuation summary</t>
  </si>
  <si>
    <t>Ranges feed the football-field chart; DCF range = inner 3x3 of the sensitivity grid.</t>
  </si>
  <si>
    <t>Method</t>
  </si>
  <si>
    <t>Low</t>
  </si>
  <si>
    <t>High</t>
  </si>
  <si>
    <t>Range</t>
  </si>
  <si>
    <t>52-week range</t>
  </si>
  <si>
    <t>DCF (WACC ±0.5%, g ±0.25%)</t>
  </si>
  <si>
    <t>EV/EBITDA (peer 25th–75th pct)</t>
  </si>
  <si>
    <t>EV/EBIT (peer 25th–75th pct)</t>
  </si>
  <si>
    <t>P/E (peer 25th–75th pct)</t>
  </si>
  <si>
    <t>EV/EBITDA regression (growth, margin ±1σ)</t>
  </si>
  <si>
    <t>Model integrity checks</t>
  </si>
  <si>
    <t>Every check must read TRUE. A FALSE means an input or formula has been broken.</t>
  </si>
  <si>
    <t>Check</t>
  </si>
  <si>
    <t>Result</t>
  </si>
  <si>
    <t>What it protects against</t>
  </si>
  <si>
    <t>WACC exceeds terminal growth</t>
  </si>
  <si>
    <t>A perpetuity needs WACC &gt; g</t>
  </si>
  <si>
    <t>Enterprise value = PV of FCF + PV of terminal value</t>
  </si>
  <si>
    <t>Broken bridge formulas</t>
  </si>
  <si>
    <t>Equity value = EV - net debt - minorities</t>
  </si>
  <si>
    <t>Sign errors in the bridge</t>
  </si>
  <si>
    <t>Sensitivity centre equals the DCF fair value</t>
  </si>
  <si>
    <t>Sensitivity grid out of sync with the model</t>
  </si>
  <si>
    <t>Base scenario reproduces the DCF fair value</t>
  </si>
  <si>
    <t>Scenario blocks drifting from the forecast</t>
  </si>
  <si>
    <t>Forecast starts from the last reported revenue</t>
  </si>
  <si>
    <t>Stale links</t>
  </si>
  <si>
    <t>Capital structure weights sum to 100%</t>
  </si>
  <si>
    <t>WACC weights</t>
  </si>
  <si>
    <t>Scenario probabilities sum to 100%</t>
  </si>
  <si>
    <t>Probability-weighted value</t>
  </si>
  <si>
    <t>Share price, shares and FX are positive</t>
  </si>
  <si>
    <t>Missing market data</t>
  </si>
  <si>
    <t>Terminal value below 85% of enterprise value</t>
  </si>
  <si>
    <t>Valuation resting almost entirely on the perpetuity</t>
  </si>
  <si>
    <t>No error values in Forecast, DCF or Scenarios</t>
  </si>
  <si>
    <t>#REF!, #DIV/0! and friends</t>
  </si>
  <si>
    <t>Overall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</si>
</sst>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;&quot;-&quot;"/>
    <numFmt numFmtId="165" formatCode="0.0000"/>
    <numFmt numFmtId="166" formatCode="#,##0.0;\(#,##0.0\);&quot;-&quot;"/>
    <numFmt numFmtId="167" formatCode="#,##0;\(#,##0\);&quot;-&quot;"/>
    <numFmt numFmtId="168" formatCode="0.0%"/>
    <numFmt numFmtId="169" formatCode="0.000"/>
    <numFmt numFmtId="170" formatCode="0.0&quot;x&quot;"/>
  </numFmts>
  <fonts count="12" x14ac:knownFonts="1">
    <font>
      <sz val="11"/>
      <color theme="1"/>
      <name val="Calibri"/>
      <family val="2"/>
      <scheme val="minor"/>
    </font>
    <font>
      <b/>
      <sz val="14"/>
      <color rgb="FF003255"/>
      <name val="Arial"/>
    </font>
    <font>
      <i/>
      <sz val="9"/>
      <color rgb="FF595959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color rgb="FF0000FF"/>
      <name val="Arial"/>
    </font>
    <font>
      <b/>
      <sz val="9"/>
      <color rgb="FF000000"/>
      <name val="Arial"/>
    </font>
    <font>
      <i/>
      <sz val="9"/>
      <color rgb="FF000000"/>
      <name val="Arial"/>
    </font>
    <font>
      <sz val="9"/>
      <color rgb="FF008000"/>
      <name val="Arial"/>
    </font>
    <font>
      <i/>
      <sz val="9"/>
      <color rgb="FF008000"/>
      <name val="Arial"/>
    </font>
    <font>
      <b/>
      <sz val="9"/>
      <color rgb="FF003255"/>
      <name val="Arial"/>
    </font>
    <font>
      <b/>
      <sz val="9"/>
      <color rgb="FF008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3255"/>
      </patternFill>
    </fill>
    <fill>
      <patternFill patternType="solid">
        <fgColor rgb="FFFFFF00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164" fontId="8" fillId="0" borderId="0" xfId="0" applyNumberFormat="1" applyFont="1"/>
    <xf numFmtId="168" fontId="8" fillId="0" borderId="0" xfId="0" applyNumberFormat="1" applyFont="1"/>
    <xf numFmtId="0" fontId="8" fillId="0" borderId="0" xfId="0" applyFont="1"/>
    <xf numFmtId="10" fontId="8" fillId="0" borderId="0" xfId="0" applyNumberFormat="1" applyFont="1"/>
    <xf numFmtId="170" fontId="8" fillId="0" borderId="0" xfId="0" applyNumberFormat="1" applyFont="1"/>
    <xf numFmtId="0" fontId="10" fillId="0" borderId="0" xfId="0" applyFont="1"/>
    <xf numFmtId="0" fontId="5" fillId="0" borderId="0" xfId="0" applyFont="1"/>
    <xf numFmtId="0" fontId="4" fillId="0" borderId="0" xfId="0" applyFont="1"/>
    <xf numFmtId="0" fontId="4" fillId="3" borderId="0" xfId="0" applyFont="1" applyFill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5" fillId="3" borderId="0" xfId="0" applyNumberFormat="1" applyFont="1" applyFill="1"/>
    <xf numFmtId="165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168" fontId="5" fillId="0" borderId="0" xfId="0" applyNumberFormat="1" applyFont="1"/>
    <xf numFmtId="10" fontId="5" fillId="3" borderId="0" xfId="0" applyNumberFormat="1" applyFont="1" applyFill="1"/>
    <xf numFmtId="10" fontId="5" fillId="0" borderId="0" xfId="0" applyNumberFormat="1" applyFont="1"/>
    <xf numFmtId="1" fontId="5" fillId="0" borderId="0" xfId="0" applyNumberFormat="1" applyFont="1"/>
    <xf numFmtId="169" fontId="5" fillId="0" borderId="0" xfId="0" applyNumberFormat="1" applyFont="1"/>
    <xf numFmtId="164" fontId="5" fillId="0" borderId="0" xfId="0" applyNumberFormat="1" applyFont="1"/>
    <xf numFmtId="168" fontId="5" fillId="3" borderId="0" xfId="0" applyNumberFormat="1" applyFont="1" applyFill="1"/>
    <xf numFmtId="0" fontId="7" fillId="0" borderId="0" xfId="0" applyFont="1"/>
    <xf numFmtId="168" fontId="7" fillId="0" borderId="0" xfId="0" applyNumberFormat="1" applyFont="1"/>
    <xf numFmtId="167" fontId="6" fillId="0" borderId="0" xfId="0" applyNumberFormat="1" applyFont="1"/>
    <xf numFmtId="167" fontId="4" fillId="0" borderId="0" xfId="0" applyNumberFormat="1" applyFont="1"/>
    <xf numFmtId="170" fontId="4" fillId="0" borderId="0" xfId="0" applyNumberFormat="1" applyFont="1"/>
    <xf numFmtId="168" fontId="9" fillId="0" borderId="0" xfId="0" applyNumberFormat="1" applyFont="1"/>
    <xf numFmtId="167" fontId="8" fillId="0" borderId="0" xfId="0" applyNumberFormat="1" applyFont="1"/>
    <xf numFmtId="10" fontId="6" fillId="0" borderId="0" xfId="0" applyNumberFormat="1" applyFont="1"/>
    <xf numFmtId="10" fontId="4" fillId="0" borderId="0" xfId="0" applyNumberFormat="1" applyFont="1"/>
    <xf numFmtId="168" fontId="4" fillId="0" borderId="0" xfId="0" applyNumberFormat="1" applyFont="1"/>
    <xf numFmtId="167" fontId="11" fillId="0" borderId="0" xfId="0" applyNumberFormat="1" applyFont="1"/>
    <xf numFmtId="169" fontId="4" fillId="0" borderId="0" xfId="0" applyNumberFormat="1" applyFont="1"/>
    <xf numFmtId="166" fontId="8" fillId="0" borderId="0" xfId="0" applyNumberFormat="1" applyFont="1"/>
    <xf numFmtId="164" fontId="6" fillId="3" borderId="0" xfId="0" applyNumberFormat="1" applyFont="1" applyFill="1"/>
    <xf numFmtId="168" fontId="6" fillId="0" borderId="0" xfId="0" applyNumberFormat="1" applyFont="1"/>
    <xf numFmtId="164" fontId="4" fillId="0" borderId="0" xfId="0" applyNumberFormat="1" applyFont="1"/>
    <xf numFmtId="10" fontId="6" fillId="4" borderId="0" xfId="0" applyNumberFormat="1" applyFont="1" applyFill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6" fontId="6" fillId="3" borderId="0" xfId="0" applyNumberFormat="1" applyFont="1" applyFill="1" applyAlignment="1">
      <alignment horizontal="center" vertical="center"/>
    </xf>
    <xf numFmtId="164" fontId="6" fillId="0" borderId="0" xfId="0" applyNumberFormat="1" applyFont="1"/>
    <xf numFmtId="0" fontId="11" fillId="0" borderId="0" xfId="0" applyFont="1" applyAlignment="1">
      <alignment horizontal="center" vertical="center"/>
    </xf>
    <xf numFmtId="170" fontId="5" fillId="0" borderId="0" xfId="0" applyNumberFormat="1" applyFont="1"/>
    <xf numFmtId="168" fontId="6" fillId="0" borderId="1" xfId="0" applyNumberFormat="1" applyFont="1" applyBorder="1"/>
    <xf numFmtId="170" fontId="6" fillId="0" borderId="1" xfId="0" applyNumberFormat="1" applyFont="1" applyBorder="1"/>
    <xf numFmtId="164" fontId="6" fillId="0" borderId="1" xfId="0" applyNumberFormat="1" applyFont="1" applyBorder="1"/>
    <xf numFmtId="170" fontId="6" fillId="0" borderId="0" xfId="0" applyNumberFormat="1" applyFont="1"/>
    <xf numFmtId="164" fontId="8" fillId="3" borderId="0" xfId="0" applyNumberFormat="1" applyFont="1" applyFill="1"/>
    <xf numFmtId="0" fontId="11" fillId="0" borderId="0" xfId="0" applyFont="1"/>
    <xf numFmtId="0" fontId="6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t>Football field (value per share)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'Football field'!$B$4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1"/>
          <c:cat>
            <c:strRef>
              <c:f>'Football field'!$A$5:$A$10</c:f>
              <c:strCache>
                <c:ptCount val="6"/>
                <c:pt idx="0">
                  <c:v>52-week range</c:v>
                </c:pt>
                <c:pt idx="1">
                  <c:v>DCF (WACC ±0.5%, g ±0.25%)</c:v>
                </c:pt>
                <c:pt idx="2">
                  <c:v>EV/EBITDA (peer 25th–75th pct)</c:v>
                </c:pt>
                <c:pt idx="3">
                  <c:v>EV/EBIT (peer 25th–75th pct)</c:v>
                </c:pt>
                <c:pt idx="4">
                  <c:v>P/E (peer 25th–75th pct)</c:v>
                </c:pt>
                <c:pt idx="5">
                  <c:v>EV/EBITDA regression (growth, margin ±1σ)</c:v>
                </c:pt>
              </c:strCache>
            </c:strRef>
          </c:cat>
          <c:val>
            <c:numRef>
              <c:f>'Football field'!$B$5:$B$10</c:f>
              <c:numCache>
                <c:formatCode>#,##0.00;\(#,##0.00\);"-"</c:formatCode>
                <c:ptCount val="6"/>
                <c:pt idx="0">
                  <c:v>42.15</c:v>
                </c:pt>
                <c:pt idx="1">
                  <c:v>66.907100450329892</c:v>
                </c:pt>
                <c:pt idx="2">
                  <c:v>37.718789503680775</c:v>
                </c:pt>
                <c:pt idx="3">
                  <c:v>42.572713780695963</c:v>
                </c:pt>
                <c:pt idx="4">
                  <c:v>38.358736822499999</c:v>
                </c:pt>
                <c:pt idx="5">
                  <c:v>44.211384123598144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7-4A9D-9AB3-D4F94E76631B}"/>
            </c:ext>
          </c:extLst>
        </c:ser>
        <c:ser>
          <c:idx val="1"/>
          <c:order val="1"/>
          <c:tx>
            <c:strRef>
              <c:f>'Football field'!$D$4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rgbClr val="003255"/>
            </a:solidFill>
            <a:ln>
              <a:prstDash val="solid"/>
            </a:ln>
          </c:spPr>
          <c:invertIfNegative val="1"/>
          <c:cat>
            <c:strRef>
              <c:f>'Football field'!$A$5:$A$10</c:f>
              <c:strCache>
                <c:ptCount val="6"/>
                <c:pt idx="0">
                  <c:v>52-week range</c:v>
                </c:pt>
                <c:pt idx="1">
                  <c:v>DCF (WACC ±0.5%, g ±0.25%)</c:v>
                </c:pt>
                <c:pt idx="2">
                  <c:v>EV/EBITDA (peer 25th–75th pct)</c:v>
                </c:pt>
                <c:pt idx="3">
                  <c:v>EV/EBIT (peer 25th–75th pct)</c:v>
                </c:pt>
                <c:pt idx="4">
                  <c:v>P/E (peer 25th–75th pct)</c:v>
                </c:pt>
                <c:pt idx="5">
                  <c:v>EV/EBITDA regression (growth, margin ±1σ)</c:v>
                </c:pt>
              </c:strCache>
            </c:strRef>
          </c:cat>
          <c:val>
            <c:numRef>
              <c:f>'Football field'!$D$5:$D$10</c:f>
              <c:numCache>
                <c:formatCode>#,##0.00;\(#,##0.00\);"-"</c:formatCode>
                <c:ptCount val="6"/>
                <c:pt idx="0">
                  <c:v>24.85</c:v>
                </c:pt>
                <c:pt idx="1">
                  <c:v>16.075899171966682</c:v>
                </c:pt>
                <c:pt idx="2">
                  <c:v>9.3865614985148085</c:v>
                </c:pt>
                <c:pt idx="3">
                  <c:v>10.48547481531353</c:v>
                </c:pt>
                <c:pt idx="4">
                  <c:v>15.69586718250001</c:v>
                </c:pt>
                <c:pt idx="5">
                  <c:v>35.416966182909626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AB7-4A9D-9AB3-D4F94E766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.00;\(#,##0.0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/>
  </sheetViews>
  <sheetFormatPr defaultRowHeight="14.5" x14ac:dyDescent="0.35"/>
  <cols>
    <col min="1" max="1" width="30" customWidth="1"/>
    <col min="2" max="2" width="18" customWidth="1"/>
    <col min="3" max="3" width="60" customWidth="1"/>
  </cols>
  <sheetData>
    <row r="1" spans="1:2" ht="18" x14ac:dyDescent="0.4">
      <c r="A1" s="1" t="s">
        <v>0</v>
      </c>
    </row>
    <row r="2" spans="1:2" x14ac:dyDescent="0.35">
      <c r="A2" s="2" t="s">
        <v>1</v>
      </c>
    </row>
    <row r="4" spans="1:2" x14ac:dyDescent="0.35">
      <c r="A4" s="3" t="s">
        <v>2</v>
      </c>
      <c r="B4" s="4">
        <f>Inputs!$B$5</f>
        <v>47.4</v>
      </c>
    </row>
    <row r="5" spans="1:2" x14ac:dyDescent="0.35">
      <c r="A5" s="3" t="s">
        <v>3</v>
      </c>
      <c r="B5" s="4">
        <f>DCF!B21</f>
        <v>73.995406865946137</v>
      </c>
    </row>
    <row r="6" spans="1:2" x14ac:dyDescent="0.35">
      <c r="A6" s="3" t="s">
        <v>4</v>
      </c>
      <c r="B6" s="4">
        <f>Scenarios!$I$8</f>
        <v>76.102639409219051</v>
      </c>
    </row>
    <row r="7" spans="1:2" x14ac:dyDescent="0.35">
      <c r="A7" s="3" t="s">
        <v>5</v>
      </c>
      <c r="B7" s="4">
        <f>DCF!B30</f>
        <v>77</v>
      </c>
    </row>
    <row r="8" spans="1:2" x14ac:dyDescent="0.35">
      <c r="A8" s="3" t="s">
        <v>6</v>
      </c>
      <c r="B8" s="5">
        <f>DCF!B31</f>
        <v>0.62447257383966259</v>
      </c>
    </row>
    <row r="9" spans="1:2" x14ac:dyDescent="0.35">
      <c r="A9" s="3" t="s">
        <v>7</v>
      </c>
      <c r="B9" s="5">
        <f>DCF!B32</f>
        <v>0.68776371308016881</v>
      </c>
    </row>
    <row r="10" spans="1:2" x14ac:dyDescent="0.35">
      <c r="A10" s="3" t="s">
        <v>8</v>
      </c>
      <c r="B10" s="6" t="str">
        <f>DCF!B33</f>
        <v>BUY</v>
      </c>
    </row>
    <row r="11" spans="1:2" x14ac:dyDescent="0.35">
      <c r="A11" s="3" t="s">
        <v>9</v>
      </c>
      <c r="B11" s="6" t="str">
        <f>Checks!$B$17</f>
        <v>ALL OK</v>
      </c>
    </row>
    <row r="12" spans="1:2" x14ac:dyDescent="0.35">
      <c r="A12" s="3" t="s">
        <v>10</v>
      </c>
      <c r="B12" s="7">
        <f>WACC!$B$17</f>
        <v>8.3000000000000004E-2</v>
      </c>
    </row>
    <row r="13" spans="1:2" x14ac:dyDescent="0.35">
      <c r="A13" s="3" t="s">
        <v>11</v>
      </c>
      <c r="B13" s="7">
        <f>Inputs!$B$11</f>
        <v>0.02</v>
      </c>
    </row>
    <row r="14" spans="1:2" x14ac:dyDescent="0.35">
      <c r="A14" s="3" t="s">
        <v>12</v>
      </c>
      <c r="B14" s="8">
        <f>Peers!E22</f>
        <v>9.5143159715003502</v>
      </c>
    </row>
    <row r="15" spans="1:2" x14ac:dyDescent="0.35">
      <c r="A15" s="3" t="s">
        <v>13</v>
      </c>
      <c r="B15" s="8">
        <f>Peers!F22</f>
        <v>8.9872662844646616</v>
      </c>
    </row>
    <row r="18" spans="1:1" x14ac:dyDescent="0.35">
      <c r="A18" s="9" t="s">
        <v>14</v>
      </c>
    </row>
    <row r="19" spans="1:1" x14ac:dyDescent="0.35">
      <c r="A19" s="10" t="s">
        <v>15</v>
      </c>
    </row>
    <row r="20" spans="1:1" x14ac:dyDescent="0.35">
      <c r="A20" s="11" t="s">
        <v>16</v>
      </c>
    </row>
    <row r="21" spans="1:1" x14ac:dyDescent="0.35">
      <c r="A21" s="6" t="s">
        <v>17</v>
      </c>
    </row>
    <row r="22" spans="1:1" x14ac:dyDescent="0.35">
      <c r="A22" s="12" t="s">
        <v>18</v>
      </c>
    </row>
    <row r="24" spans="1:1" x14ac:dyDescent="0.35">
      <c r="A24" s="2" t="s">
        <v>19</v>
      </c>
    </row>
    <row r="25" spans="1:1" x14ac:dyDescent="0.35">
      <c r="A25" s="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4" customWidth="1"/>
    <col min="2" max="9" width="14" customWidth="1"/>
  </cols>
  <sheetData>
    <row r="1" spans="1:3" ht="18" x14ac:dyDescent="0.4">
      <c r="A1" s="1" t="s">
        <v>21</v>
      </c>
    </row>
    <row r="2" spans="1:3" x14ac:dyDescent="0.35">
      <c r="A2" s="2" t="s">
        <v>22</v>
      </c>
    </row>
    <row r="4" spans="1:3" x14ac:dyDescent="0.35">
      <c r="A4" s="13" t="s">
        <v>23</v>
      </c>
      <c r="B4" s="14" t="s">
        <v>24</v>
      </c>
      <c r="C4" s="13" t="s">
        <v>25</v>
      </c>
    </row>
    <row r="5" spans="1:3" x14ac:dyDescent="0.35">
      <c r="A5" s="11" t="s">
        <v>2</v>
      </c>
      <c r="B5" s="15">
        <v>47.4</v>
      </c>
      <c r="C5" s="2" t="s">
        <v>26</v>
      </c>
    </row>
    <row r="6" spans="1:3" x14ac:dyDescent="0.35">
      <c r="A6" s="11" t="s">
        <v>27</v>
      </c>
      <c r="B6" s="16">
        <v>1</v>
      </c>
      <c r="C6" s="2" t="s">
        <v>28</v>
      </c>
    </row>
    <row r="7" spans="1:3" x14ac:dyDescent="0.35">
      <c r="A7" s="11" t="s">
        <v>29</v>
      </c>
      <c r="B7" s="17">
        <v>102.363052</v>
      </c>
      <c r="C7" s="2" t="s">
        <v>30</v>
      </c>
    </row>
    <row r="8" spans="1:3" x14ac:dyDescent="0.35">
      <c r="A8" s="11" t="s">
        <v>31</v>
      </c>
      <c r="B8" s="18">
        <v>-159.733</v>
      </c>
      <c r="C8" s="2" t="s">
        <v>32</v>
      </c>
    </row>
    <row r="9" spans="1:3" x14ac:dyDescent="0.35">
      <c r="A9" s="11" t="s">
        <v>33</v>
      </c>
      <c r="B9" s="18">
        <v>0</v>
      </c>
      <c r="C9" s="2" t="s">
        <v>34</v>
      </c>
    </row>
    <row r="10" spans="1:3" x14ac:dyDescent="0.35">
      <c r="A10" s="11" t="s">
        <v>35</v>
      </c>
      <c r="B10" s="19">
        <v>0.22</v>
      </c>
      <c r="C10" s="2" t="s">
        <v>36</v>
      </c>
    </row>
    <row r="11" spans="1:3" x14ac:dyDescent="0.35">
      <c r="A11" s="11" t="s">
        <v>11</v>
      </c>
      <c r="B11" s="20">
        <v>0.02</v>
      </c>
      <c r="C11" s="2" t="s">
        <v>37</v>
      </c>
    </row>
    <row r="12" spans="1:3" x14ac:dyDescent="0.35">
      <c r="A12" s="11" t="s">
        <v>38</v>
      </c>
      <c r="B12" s="21">
        <v>3.7999999999999999E-2</v>
      </c>
      <c r="C12" s="2" t="s">
        <v>37</v>
      </c>
    </row>
    <row r="13" spans="1:3" x14ac:dyDescent="0.35">
      <c r="A13" s="11" t="s">
        <v>39</v>
      </c>
      <c r="B13" s="21">
        <v>0.05</v>
      </c>
      <c r="C13" s="2" t="s">
        <v>37</v>
      </c>
    </row>
    <row r="14" spans="1:3" x14ac:dyDescent="0.35">
      <c r="A14" s="11" t="s">
        <v>40</v>
      </c>
      <c r="B14" s="15">
        <v>0.6</v>
      </c>
      <c r="C14" s="2" t="s">
        <v>41</v>
      </c>
    </row>
    <row r="15" spans="1:3" x14ac:dyDescent="0.35">
      <c r="A15" s="11" t="s">
        <v>42</v>
      </c>
      <c r="B15" s="21">
        <v>1.4999999999999999E-2</v>
      </c>
      <c r="C15" s="2" t="s">
        <v>43</v>
      </c>
    </row>
    <row r="16" spans="1:3" x14ac:dyDescent="0.35">
      <c r="A16" s="11" t="s">
        <v>44</v>
      </c>
      <c r="B16" s="21">
        <v>5.8000000000000003E-2</v>
      </c>
      <c r="C16" s="2" t="s">
        <v>45</v>
      </c>
    </row>
    <row r="17" spans="1:7" x14ac:dyDescent="0.35">
      <c r="A17" s="11" t="s">
        <v>46</v>
      </c>
      <c r="B17" s="18">
        <v>0</v>
      </c>
      <c r="C17" s="2" t="s">
        <v>47</v>
      </c>
    </row>
    <row r="18" spans="1:7" x14ac:dyDescent="0.35">
      <c r="A18" s="11" t="s">
        <v>48</v>
      </c>
      <c r="B18" s="22">
        <v>0</v>
      </c>
      <c r="C18" s="2" t="s">
        <v>37</v>
      </c>
    </row>
    <row r="19" spans="1:7" x14ac:dyDescent="0.35">
      <c r="A19" s="11" t="s">
        <v>49</v>
      </c>
      <c r="B19" s="23">
        <v>0.72826830937713893</v>
      </c>
      <c r="C19" s="2" t="s">
        <v>50</v>
      </c>
    </row>
    <row r="20" spans="1:7" x14ac:dyDescent="0.35">
      <c r="A20" s="11" t="s">
        <v>51</v>
      </c>
      <c r="B20" s="23">
        <v>0.49555099247091028</v>
      </c>
      <c r="C20" s="2" t="s">
        <v>52</v>
      </c>
    </row>
    <row r="21" spans="1:7" x14ac:dyDescent="0.35">
      <c r="A21" s="11" t="s">
        <v>53</v>
      </c>
      <c r="B21" s="22">
        <v>0</v>
      </c>
      <c r="C21" s="2" t="s">
        <v>54</v>
      </c>
    </row>
    <row r="22" spans="1:7" x14ac:dyDescent="0.35">
      <c r="A22" s="11" t="s">
        <v>55</v>
      </c>
      <c r="B22" s="21">
        <v>0.10299999999999999</v>
      </c>
      <c r="C22" s="2" t="s">
        <v>56</v>
      </c>
    </row>
    <row r="23" spans="1:7" x14ac:dyDescent="0.35">
      <c r="A23" s="11" t="s">
        <v>57</v>
      </c>
      <c r="B23" s="24">
        <v>3</v>
      </c>
      <c r="C23" s="2" t="s">
        <v>58</v>
      </c>
    </row>
    <row r="24" spans="1:7" x14ac:dyDescent="0.35">
      <c r="A24" s="11" t="s">
        <v>59</v>
      </c>
      <c r="B24" s="22">
        <v>12</v>
      </c>
      <c r="C24" s="2" t="s">
        <v>60</v>
      </c>
    </row>
    <row r="25" spans="1:7" x14ac:dyDescent="0.35">
      <c r="A25" s="11" t="s">
        <v>61</v>
      </c>
      <c r="B25" s="24">
        <v>0.5</v>
      </c>
      <c r="C25" s="2" t="s">
        <v>37</v>
      </c>
    </row>
    <row r="26" spans="1:7" x14ac:dyDescent="0.35">
      <c r="A26" s="11" t="s">
        <v>62</v>
      </c>
      <c r="B26" s="19">
        <v>1</v>
      </c>
      <c r="C26" s="2" t="s">
        <v>63</v>
      </c>
    </row>
    <row r="27" spans="1:7" x14ac:dyDescent="0.35">
      <c r="A27" s="11" t="s">
        <v>64</v>
      </c>
      <c r="B27" s="24">
        <v>46.766561751319131</v>
      </c>
      <c r="C27" s="2" t="s">
        <v>65</v>
      </c>
    </row>
    <row r="28" spans="1:7" x14ac:dyDescent="0.35">
      <c r="A28" s="11" t="s">
        <v>66</v>
      </c>
      <c r="B28" s="19">
        <v>0.15</v>
      </c>
      <c r="C28" s="2" t="s">
        <v>37</v>
      </c>
    </row>
    <row r="29" spans="1:7" x14ac:dyDescent="0.35">
      <c r="A29" s="11" t="s">
        <v>67</v>
      </c>
      <c r="B29" s="19">
        <v>-0.1</v>
      </c>
      <c r="C29" s="2" t="s">
        <v>37</v>
      </c>
    </row>
    <row r="32" spans="1:7" x14ac:dyDescent="0.35">
      <c r="A32" s="13" t="s">
        <v>68</v>
      </c>
      <c r="B32" s="14" t="s">
        <v>69</v>
      </c>
      <c r="C32" s="14" t="s">
        <v>70</v>
      </c>
      <c r="D32" s="14" t="s">
        <v>71</v>
      </c>
      <c r="E32" s="14" t="s">
        <v>72</v>
      </c>
      <c r="F32" s="14" t="s">
        <v>73</v>
      </c>
      <c r="G32" s="14" t="s">
        <v>74</v>
      </c>
    </row>
    <row r="33" spans="1:7" x14ac:dyDescent="0.35">
      <c r="A33" s="11" t="s">
        <v>75</v>
      </c>
      <c r="B33" s="25">
        <v>1.47E-2</v>
      </c>
      <c r="C33" s="25">
        <v>7.7600000000000002E-2</v>
      </c>
      <c r="D33" s="25">
        <v>6.3200000000000006E-2</v>
      </c>
      <c r="E33" s="25">
        <v>4.8800000000000003E-2</v>
      </c>
      <c r="F33" s="25">
        <v>3.44E-2</v>
      </c>
      <c r="G33" s="25">
        <v>0.02</v>
      </c>
    </row>
    <row r="34" spans="1:7" x14ac:dyDescent="0.35">
      <c r="A34" s="11" t="s">
        <v>76</v>
      </c>
      <c r="B34" s="25">
        <v>0.13456663034551269</v>
      </c>
      <c r="C34" s="25">
        <v>0.13494101642716619</v>
      </c>
      <c r="D34" s="25">
        <v>0.13531540250881971</v>
      </c>
      <c r="E34" s="25">
        <v>0.1356897885904732</v>
      </c>
      <c r="F34" s="25">
        <v>0.13606417467212659</v>
      </c>
      <c r="G34" s="25">
        <v>0.13643856075378011</v>
      </c>
    </row>
    <row r="35" spans="1:7" x14ac:dyDescent="0.35">
      <c r="A35" s="11" t="s">
        <v>77</v>
      </c>
      <c r="B35" s="25">
        <v>1.298214527978637E-2</v>
      </c>
      <c r="C35" s="25">
        <v>1.298214527978637E-2</v>
      </c>
      <c r="D35" s="25">
        <v>1.298214527978637E-2</v>
      </c>
      <c r="E35" s="25">
        <v>1.298214527978637E-2</v>
      </c>
      <c r="F35" s="25">
        <v>1.298214527978637E-2</v>
      </c>
      <c r="G35" s="25">
        <v>1.298214527978637E-2</v>
      </c>
    </row>
    <row r="36" spans="1:7" x14ac:dyDescent="0.35">
      <c r="A36" s="11" t="s">
        <v>78</v>
      </c>
      <c r="B36" s="25">
        <v>1.022177785544261E-2</v>
      </c>
      <c r="C36" s="25">
        <v>1.022177785544261E-2</v>
      </c>
      <c r="D36" s="25">
        <v>1.022177785544261E-2</v>
      </c>
      <c r="E36" s="25">
        <v>1.022177785544261E-2</v>
      </c>
      <c r="F36" s="25">
        <v>1.022177785544261E-2</v>
      </c>
      <c r="G36" s="25">
        <v>1.022177785544261E-2</v>
      </c>
    </row>
    <row r="37" spans="1:7" x14ac:dyDescent="0.35">
      <c r="A37" s="11" t="s">
        <v>79</v>
      </c>
      <c r="B37" s="25">
        <v>-6.9648947052931273E-2</v>
      </c>
      <c r="C37" s="25">
        <v>-6.9648947052931273E-2</v>
      </c>
      <c r="D37" s="25">
        <v>-6.9648947052931273E-2</v>
      </c>
      <c r="E37" s="25">
        <v>-6.9648947052931273E-2</v>
      </c>
      <c r="F37" s="25">
        <v>-6.9648947052931273E-2</v>
      </c>
      <c r="G37" s="25">
        <v>-6.9648947052931273E-2</v>
      </c>
    </row>
    <row r="39" spans="1:7" x14ac:dyDescent="0.35">
      <c r="A39" s="2" t="s">
        <v>80</v>
      </c>
    </row>
    <row r="40" spans="1:7" x14ac:dyDescent="0.35">
      <c r="A40" s="2" t="s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4" customWidth="1"/>
    <col min="2" max="5" width="12" customWidth="1"/>
  </cols>
  <sheetData>
    <row r="1" spans="1:5" ht="18" x14ac:dyDescent="0.4">
      <c r="A1" s="1" t="s">
        <v>82</v>
      </c>
    </row>
    <row r="2" spans="1:5" x14ac:dyDescent="0.35">
      <c r="A2" s="2" t="s">
        <v>83</v>
      </c>
    </row>
    <row r="4" spans="1:5" x14ac:dyDescent="0.35">
      <c r="A4" s="13" t="s">
        <v>84</v>
      </c>
      <c r="B4" s="14" t="s">
        <v>85</v>
      </c>
      <c r="C4" s="14" t="s">
        <v>86</v>
      </c>
      <c r="D4" s="14" t="s">
        <v>87</v>
      </c>
      <c r="E4" s="14" t="s">
        <v>88</v>
      </c>
    </row>
    <row r="5" spans="1:5" x14ac:dyDescent="0.35">
      <c r="A5" s="3" t="s">
        <v>89</v>
      </c>
      <c r="B5" s="18">
        <v>3085.47</v>
      </c>
      <c r="C5" s="18">
        <v>3525.761</v>
      </c>
      <c r="D5" s="18">
        <v>3921.3989999999999</v>
      </c>
      <c r="E5" s="18">
        <v>3912.3429999999998</v>
      </c>
    </row>
    <row r="6" spans="1:5" x14ac:dyDescent="0.35">
      <c r="A6" s="26" t="s">
        <v>90</v>
      </c>
      <c r="B6" s="27"/>
      <c r="C6" s="27">
        <f>IF(B5=0,"",C5/B5-1)</f>
        <v>0.14269819508859283</v>
      </c>
      <c r="D6" s="27">
        <f>IF(C5=0,"",D5/C5-1)</f>
        <v>0.11221350511279682</v>
      </c>
      <c r="E6" s="27">
        <f>IF(D5=0,"",E5/D5-1)</f>
        <v>-2.3093798922272368E-3</v>
      </c>
    </row>
    <row r="7" spans="1:5" x14ac:dyDescent="0.35">
      <c r="A7" s="11" t="s">
        <v>91</v>
      </c>
      <c r="B7" s="18">
        <v>486.74299999999999</v>
      </c>
      <c r="C7" s="18">
        <v>524.08399999999995</v>
      </c>
      <c r="D7" s="18">
        <v>635.28200000000004</v>
      </c>
      <c r="E7" s="18">
        <v>597.21600000000001</v>
      </c>
    </row>
    <row r="8" spans="1:5" x14ac:dyDescent="0.35">
      <c r="A8" s="11" t="s">
        <v>92</v>
      </c>
      <c r="B8" s="18">
        <v>51.39560000000003</v>
      </c>
      <c r="C8" s="18">
        <v>61.561400000000027</v>
      </c>
      <c r="D8" s="18">
        <v>70.837107499999988</v>
      </c>
      <c r="E8" s="18">
        <v>72.209912499999945</v>
      </c>
    </row>
    <row r="9" spans="1:5" x14ac:dyDescent="0.35">
      <c r="A9" s="3" t="s">
        <v>93</v>
      </c>
      <c r="B9" s="28">
        <f>B7-B8</f>
        <v>435.34739999999999</v>
      </c>
      <c r="C9" s="28">
        <f>C7-C8</f>
        <v>462.5225999999999</v>
      </c>
      <c r="D9" s="28">
        <f>D7-D8</f>
        <v>564.44489250000004</v>
      </c>
      <c r="E9" s="28">
        <f>E7-E8</f>
        <v>525.00608750000004</v>
      </c>
    </row>
    <row r="10" spans="1:5" x14ac:dyDescent="0.35">
      <c r="A10" s="26" t="s">
        <v>76</v>
      </c>
      <c r="B10" s="27">
        <f>IF(B5=0,"",B9/B5)</f>
        <v>0.14109597565362814</v>
      </c>
      <c r="C10" s="27">
        <f>IF(C5=0,"",C9/C5)</f>
        <v>0.13118376429939518</v>
      </c>
      <c r="D10" s="27">
        <f>IF(D5=0,"",D9/D5)</f>
        <v>0.14393967369808583</v>
      </c>
      <c r="E10" s="27">
        <f>IF(E5=0,"",E9/E5)</f>
        <v>0.13419224426385928</v>
      </c>
    </row>
    <row r="11" spans="1:5" x14ac:dyDescent="0.35">
      <c r="A11" s="11" t="s">
        <v>94</v>
      </c>
      <c r="B11" s="18">
        <v>79.046000000000006</v>
      </c>
      <c r="C11" s="18">
        <v>96.918000000000006</v>
      </c>
      <c r="D11" s="18">
        <v>120.252</v>
      </c>
      <c r="E11" s="18">
        <v>99.192999999999998</v>
      </c>
    </row>
    <row r="12" spans="1:5" x14ac:dyDescent="0.35">
      <c r="A12" s="11" t="s">
        <v>95</v>
      </c>
      <c r="B12" s="18">
        <v>46.026000000000032</v>
      </c>
      <c r="C12" s="18">
        <v>54.563000000000038</v>
      </c>
      <c r="D12" s="18">
        <v>56.512999999999991</v>
      </c>
      <c r="E12" s="18">
        <v>57.411999999999942</v>
      </c>
    </row>
    <row r="13" spans="1:5" x14ac:dyDescent="0.35">
      <c r="A13" s="11" t="s">
        <v>96</v>
      </c>
      <c r="B13" s="29">
        <f>MAX(B11-B12,0)</f>
        <v>33.019999999999975</v>
      </c>
      <c r="C13" s="29">
        <f>MAX(C11-C12,0)</f>
        <v>42.354999999999968</v>
      </c>
      <c r="D13" s="29">
        <f>MAX(D11-D12,0)</f>
        <v>63.739000000000004</v>
      </c>
      <c r="E13" s="29">
        <f>MAX(E11-E12,0)</f>
        <v>41.781000000000056</v>
      </c>
    </row>
    <row r="14" spans="1:5" x14ac:dyDescent="0.35">
      <c r="A14" s="3" t="s">
        <v>97</v>
      </c>
      <c r="B14" s="28">
        <f>B9-B13</f>
        <v>402.32740000000001</v>
      </c>
      <c r="C14" s="28">
        <f>C9-C13</f>
        <v>420.16759999999994</v>
      </c>
      <c r="D14" s="28">
        <f>D9-D13</f>
        <v>500.7058925</v>
      </c>
      <c r="E14" s="28">
        <f>E9-E13</f>
        <v>483.22508749999997</v>
      </c>
    </row>
    <row r="15" spans="1:5" x14ac:dyDescent="0.35">
      <c r="A15" s="26" t="s">
        <v>98</v>
      </c>
      <c r="B15" s="27">
        <f>IF(B5=0,"",B14/B5)</f>
        <v>0.13039420250399456</v>
      </c>
      <c r="C15" s="27">
        <f>IF(C5=0,"",C14/C5)</f>
        <v>0.11917075490936566</v>
      </c>
      <c r="D15" s="27">
        <f>IF(D5=0,"",D14/D5)</f>
        <v>0.12768552562491092</v>
      </c>
      <c r="E15" s="27">
        <f>IF(E5=0,"",E14/E5)</f>
        <v>0.12351296588770463</v>
      </c>
    </row>
    <row r="16" spans="1:5" x14ac:dyDescent="0.35">
      <c r="A16" s="26" t="s">
        <v>99</v>
      </c>
      <c r="B16" s="19">
        <v>0.21115253687793811</v>
      </c>
      <c r="C16" s="19">
        <v>0.2225669067774331</v>
      </c>
      <c r="D16" s="19">
        <v>0.21935637547410661</v>
      </c>
      <c r="E16" s="19">
        <v>0.24097438545405289</v>
      </c>
    </row>
    <row r="17" spans="1:5" x14ac:dyDescent="0.35">
      <c r="A17" s="3" t="s">
        <v>100</v>
      </c>
      <c r="B17" s="28">
        <f>B14*(1-B16)</f>
        <v>317.37494883449506</v>
      </c>
      <c r="C17" s="28">
        <f>C14*(1-C16)</f>
        <v>326.65219693990218</v>
      </c>
      <c r="D17" s="28">
        <f>D14*(1-D16)</f>
        <v>390.87286274267234</v>
      </c>
      <c r="E17" s="28">
        <f>E14*(1-E16)</f>
        <v>366.78021900370652</v>
      </c>
    </row>
    <row r="18" spans="1:5" x14ac:dyDescent="0.35">
      <c r="A18" s="11" t="s">
        <v>101</v>
      </c>
      <c r="B18" s="18">
        <v>-41.018000000000001</v>
      </c>
      <c r="C18" s="18">
        <v>-51.581000000000003</v>
      </c>
      <c r="D18" s="18">
        <v>-36.500999999999998</v>
      </c>
      <c r="E18" s="18">
        <v>-26.32</v>
      </c>
    </row>
    <row r="19" spans="1:5" x14ac:dyDescent="0.35">
      <c r="A19" s="11" t="s">
        <v>102</v>
      </c>
      <c r="B19" s="18">
        <v>-106.325</v>
      </c>
      <c r="C19" s="18">
        <v>69.180000000000007</v>
      </c>
      <c r="D19" s="18">
        <v>326.61900000000003</v>
      </c>
      <c r="E19" s="18">
        <v>-106.29900000000001</v>
      </c>
    </row>
    <row r="20" spans="1:5" x14ac:dyDescent="0.35">
      <c r="A20" s="3" t="s">
        <v>103</v>
      </c>
      <c r="B20" s="28">
        <f>B17+B13+B18+B19</f>
        <v>203.05194883449502</v>
      </c>
      <c r="C20" s="28">
        <f>C17+C13+C18+C19</f>
        <v>386.60619693990213</v>
      </c>
      <c r="D20" s="28">
        <f>D17+D13+D18+D19</f>
        <v>744.72986274267237</v>
      </c>
      <c r="E20" s="28">
        <f>E17+E13+E18+E19</f>
        <v>275.94221900370655</v>
      </c>
    </row>
    <row r="21" spans="1:5" x14ac:dyDescent="0.35">
      <c r="A21" s="26" t="s">
        <v>104</v>
      </c>
      <c r="B21" s="27">
        <f>IF(B5=0,"",B20/B5)</f>
        <v>6.5809082193148863E-2</v>
      </c>
      <c r="C21" s="27">
        <f>IF(C5=0,"",C20/C5)</f>
        <v>0.10965184450673263</v>
      </c>
      <c r="D21" s="27">
        <f>IF(D5=0,"",D20/D5)</f>
        <v>0.18991432974371453</v>
      </c>
      <c r="E21" s="27">
        <f>IF(E5=0,"",E20/E5)</f>
        <v>7.0531192945942262E-2</v>
      </c>
    </row>
    <row r="22" spans="1:5" x14ac:dyDescent="0.35">
      <c r="A22" s="11" t="s">
        <v>105</v>
      </c>
      <c r="B22" s="18">
        <v>315.70800000000003</v>
      </c>
      <c r="C22" s="18">
        <v>325.41899999999998</v>
      </c>
      <c r="D22" s="18">
        <v>383.44200000000001</v>
      </c>
      <c r="E22" s="18">
        <v>358.673</v>
      </c>
    </row>
    <row r="23" spans="1:5" x14ac:dyDescent="0.35">
      <c r="A23" s="11" t="s">
        <v>106</v>
      </c>
      <c r="B23" s="24">
        <v>3.03</v>
      </c>
      <c r="C23" s="24">
        <v>3.13</v>
      </c>
      <c r="D23" s="24">
        <v>3.69</v>
      </c>
      <c r="E23" s="24">
        <v>3.46</v>
      </c>
    </row>
    <row r="24" spans="1:5" x14ac:dyDescent="0.35">
      <c r="A24" s="11" t="s">
        <v>107</v>
      </c>
      <c r="B24" s="18">
        <v>367.09300000000002</v>
      </c>
      <c r="C24" s="18">
        <v>398.07400000000001</v>
      </c>
      <c r="D24" s="18">
        <v>743.79399999999998</v>
      </c>
      <c r="E24" s="18">
        <v>579.88400000000001</v>
      </c>
    </row>
    <row r="25" spans="1:5" x14ac:dyDescent="0.35">
      <c r="A25" s="11" t="s">
        <v>108</v>
      </c>
      <c r="B25" s="18">
        <v>228.96299999999999</v>
      </c>
      <c r="C25" s="18">
        <v>320.86700000000002</v>
      </c>
      <c r="D25" s="18">
        <v>315.76</v>
      </c>
      <c r="E25" s="18">
        <v>341.92500000000001</v>
      </c>
    </row>
    <row r="26" spans="1:5" x14ac:dyDescent="0.35">
      <c r="A26" s="11" t="s">
        <v>109</v>
      </c>
      <c r="B26" s="18">
        <v>228.96299999999999</v>
      </c>
      <c r="C26" s="18">
        <v>320.86700000000002</v>
      </c>
      <c r="D26" s="18">
        <v>315.76</v>
      </c>
      <c r="E26" s="18">
        <v>341.92500000000001</v>
      </c>
    </row>
    <row r="27" spans="1:5" x14ac:dyDescent="0.35">
      <c r="A27" s="11" t="s">
        <v>110</v>
      </c>
      <c r="B27" s="18">
        <v>-367.09300000000002</v>
      </c>
      <c r="C27" s="18">
        <v>-398.07400000000001</v>
      </c>
      <c r="D27" s="18">
        <v>-743.79399999999998</v>
      </c>
      <c r="E27" s="18">
        <v>-579.88400000000001</v>
      </c>
    </row>
    <row r="28" spans="1:5" x14ac:dyDescent="0.35">
      <c r="A28" s="11" t="s">
        <v>111</v>
      </c>
      <c r="B28" s="30">
        <f>IF(B9&lt;=0,"n.m.",B27/B9)</f>
        <v>-0.84321854224924742</v>
      </c>
      <c r="C28" s="30">
        <f>IF(C9&lt;=0,"n.m.",C27/C9)</f>
        <v>-0.86065848457999694</v>
      </c>
      <c r="D28" s="30">
        <f>IF(D9&lt;=0,"n.m.",D27/D9)</f>
        <v>-1.3177442295662192</v>
      </c>
      <c r="E28" s="30">
        <f>IF(E9&lt;=0,"n.m.",E27/E9)</f>
        <v>-1.1045281451141269</v>
      </c>
    </row>
    <row r="29" spans="1:5" x14ac:dyDescent="0.35">
      <c r="A29" s="11" t="s">
        <v>112</v>
      </c>
      <c r="B29" s="18">
        <v>1.3424</v>
      </c>
      <c r="C29" s="18">
        <v>1.7495999999999989</v>
      </c>
      <c r="D29" s="18">
        <v>9.339892500000003</v>
      </c>
      <c r="E29" s="18">
        <v>10.6810875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4" customWidth="1"/>
    <col min="2" max="9" width="12" customWidth="1"/>
  </cols>
  <sheetData>
    <row r="1" spans="1:9" ht="18" x14ac:dyDescent="0.4">
      <c r="A1" s="1" t="s">
        <v>113</v>
      </c>
    </row>
    <row r="2" spans="1:9" x14ac:dyDescent="0.35">
      <c r="A2" s="2" t="s">
        <v>114</v>
      </c>
    </row>
    <row r="4" spans="1:9" x14ac:dyDescent="0.35">
      <c r="A4" s="13" t="s">
        <v>84</v>
      </c>
      <c r="B4" s="14" t="s">
        <v>88</v>
      </c>
      <c r="C4" s="14" t="s">
        <v>69</v>
      </c>
      <c r="D4" s="14" t="s">
        <v>70</v>
      </c>
      <c r="E4" s="14" t="s">
        <v>71</v>
      </c>
      <c r="F4" s="14" t="s">
        <v>72</v>
      </c>
      <c r="G4" s="14" t="s">
        <v>73</v>
      </c>
      <c r="H4" s="14" t="s">
        <v>74</v>
      </c>
      <c r="I4" s="14" t="s">
        <v>115</v>
      </c>
    </row>
    <row r="5" spans="1:9" x14ac:dyDescent="0.35">
      <c r="A5" s="11" t="s">
        <v>75</v>
      </c>
      <c r="C5" s="31">
        <f>Inputs!B33</f>
        <v>1.47E-2</v>
      </c>
      <c r="D5" s="31">
        <f>Inputs!C33</f>
        <v>7.7600000000000002E-2</v>
      </c>
      <c r="E5" s="31">
        <f>Inputs!D33</f>
        <v>6.3200000000000006E-2</v>
      </c>
      <c r="F5" s="31">
        <f>Inputs!E33</f>
        <v>4.8800000000000003E-2</v>
      </c>
      <c r="G5" s="31">
        <f>Inputs!F33</f>
        <v>3.44E-2</v>
      </c>
      <c r="H5" s="31">
        <f>Inputs!G33</f>
        <v>0.02</v>
      </c>
      <c r="I5" s="31">
        <f>Inputs!$B$11</f>
        <v>0.02</v>
      </c>
    </row>
    <row r="6" spans="1:9" x14ac:dyDescent="0.35">
      <c r="A6" s="3" t="s">
        <v>89</v>
      </c>
      <c r="B6" s="32">
        <f>Historicals!E5</f>
        <v>3912.3429999999998</v>
      </c>
      <c r="C6" s="28">
        <f t="shared" ref="C6:I6" si="0">B6*(1+C5)</f>
        <v>3969.8544420999997</v>
      </c>
      <c r="D6" s="28">
        <f t="shared" si="0"/>
        <v>4277.9151468069595</v>
      </c>
      <c r="E6" s="28">
        <f t="shared" si="0"/>
        <v>4548.2793840851591</v>
      </c>
      <c r="F6" s="28">
        <f t="shared" si="0"/>
        <v>4770.2354180285147</v>
      </c>
      <c r="G6" s="28">
        <f t="shared" si="0"/>
        <v>4934.3315164086953</v>
      </c>
      <c r="H6" s="28">
        <f t="shared" si="0"/>
        <v>5033.0181467368693</v>
      </c>
      <c r="I6" s="28">
        <f t="shared" si="0"/>
        <v>5133.6785096716067</v>
      </c>
    </row>
    <row r="7" spans="1:9" x14ac:dyDescent="0.35">
      <c r="A7" s="26" t="s">
        <v>76</v>
      </c>
      <c r="B7" s="27">
        <f>B8/B6</f>
        <v>0.13419224426385928</v>
      </c>
      <c r="C7" s="31">
        <f>Inputs!B34</f>
        <v>0.13456663034551269</v>
      </c>
      <c r="D7" s="31">
        <f>Inputs!C34</f>
        <v>0.13494101642716619</v>
      </c>
      <c r="E7" s="31">
        <f>Inputs!D34</f>
        <v>0.13531540250881971</v>
      </c>
      <c r="F7" s="31">
        <f>Inputs!E34</f>
        <v>0.1356897885904732</v>
      </c>
      <c r="G7" s="31">
        <f>Inputs!F34</f>
        <v>0.13606417467212659</v>
      </c>
      <c r="H7" s="31">
        <f>Inputs!G34</f>
        <v>0.13643856075378011</v>
      </c>
      <c r="I7" s="27">
        <f>H7</f>
        <v>0.13643856075378011</v>
      </c>
    </row>
    <row r="8" spans="1:9" x14ac:dyDescent="0.35">
      <c r="A8" s="3" t="s">
        <v>93</v>
      </c>
      <c r="B8" s="32">
        <f>Historicals!E9</f>
        <v>525.00608750000004</v>
      </c>
      <c r="C8" s="28">
        <f t="shared" ref="C8:I8" si="1">C6*C7</f>
        <v>534.20993523556217</v>
      </c>
      <c r="D8" s="28">
        <f t="shared" si="1"/>
        <v>577.266218099301</v>
      </c>
      <c r="E8" s="28">
        <f t="shared" si="1"/>
        <v>615.45225558004995</v>
      </c>
      <c r="F8" s="28">
        <f t="shared" si="1"/>
        <v>647.27223539907675</v>
      </c>
      <c r="G8" s="28">
        <f t="shared" si="1"/>
        <v>671.38574533881194</v>
      </c>
      <c r="H8" s="28">
        <f t="shared" si="1"/>
        <v>686.69775218843608</v>
      </c>
      <c r="I8" s="28">
        <f t="shared" si="1"/>
        <v>700.43170723220487</v>
      </c>
    </row>
    <row r="9" spans="1:9" x14ac:dyDescent="0.35">
      <c r="A9" s="26" t="s">
        <v>77</v>
      </c>
      <c r="C9" s="31">
        <f>Inputs!B35</f>
        <v>1.298214527978637E-2</v>
      </c>
      <c r="D9" s="31">
        <f>Inputs!C35</f>
        <v>1.298214527978637E-2</v>
      </c>
      <c r="E9" s="31">
        <f>Inputs!D35</f>
        <v>1.298214527978637E-2</v>
      </c>
      <c r="F9" s="31">
        <f>Inputs!E35</f>
        <v>1.298214527978637E-2</v>
      </c>
      <c r="G9" s="31">
        <f>Inputs!F35</f>
        <v>1.298214527978637E-2</v>
      </c>
      <c r="H9" s="31">
        <f>Inputs!G35</f>
        <v>1.298214527978637E-2</v>
      </c>
      <c r="I9" s="27">
        <f>H9</f>
        <v>1.298214527978637E-2</v>
      </c>
    </row>
    <row r="10" spans="1:9" x14ac:dyDescent="0.35">
      <c r="A10" s="11" t="s">
        <v>96</v>
      </c>
      <c r="B10" s="32">
        <f>Historicals!E13</f>
        <v>41.781000000000056</v>
      </c>
      <c r="C10" s="29">
        <f t="shared" ref="C10:I10" si="2">C6*C9</f>
        <v>51.537227106947462</v>
      </c>
      <c r="D10" s="29">
        <f t="shared" si="2"/>
        <v>55.536515930446583</v>
      </c>
      <c r="E10" s="29">
        <f t="shared" si="2"/>
        <v>59.046423737250805</v>
      </c>
      <c r="F10" s="29">
        <f t="shared" si="2"/>
        <v>61.927889215628646</v>
      </c>
      <c r="G10" s="29">
        <f t="shared" si="2"/>
        <v>64.058208604646268</v>
      </c>
      <c r="H10" s="29">
        <f t="shared" si="2"/>
        <v>65.339372776739197</v>
      </c>
      <c r="I10" s="29">
        <f t="shared" si="2"/>
        <v>66.646160232273971</v>
      </c>
    </row>
    <row r="11" spans="1:9" x14ac:dyDescent="0.35">
      <c r="A11" s="3" t="s">
        <v>97</v>
      </c>
      <c r="B11" s="32">
        <f>Historicals!E14</f>
        <v>483.22508749999997</v>
      </c>
      <c r="C11" s="28">
        <f t="shared" ref="C11:I11" si="3">C8-C10</f>
        <v>482.67270812861472</v>
      </c>
      <c r="D11" s="28">
        <f t="shared" si="3"/>
        <v>521.72970216885437</v>
      </c>
      <c r="E11" s="28">
        <f t="shared" si="3"/>
        <v>556.4058318427991</v>
      </c>
      <c r="F11" s="28">
        <f t="shared" si="3"/>
        <v>585.34434618344812</v>
      </c>
      <c r="G11" s="28">
        <f t="shared" si="3"/>
        <v>607.32753673416573</v>
      </c>
      <c r="H11" s="28">
        <f t="shared" si="3"/>
        <v>621.35837941169689</v>
      </c>
      <c r="I11" s="28">
        <f t="shared" si="3"/>
        <v>633.78554699993094</v>
      </c>
    </row>
    <row r="12" spans="1:9" x14ac:dyDescent="0.35">
      <c r="A12" s="26" t="s">
        <v>98</v>
      </c>
      <c r="C12" s="27">
        <f t="shared" ref="C12:I12" si="4">C11/C6</f>
        <v>0.12158448506572632</v>
      </c>
      <c r="D12" s="27">
        <f t="shared" si="4"/>
        <v>0.12195887114737981</v>
      </c>
      <c r="E12" s="27">
        <f t="shared" si="4"/>
        <v>0.12233325722903333</v>
      </c>
      <c r="F12" s="27">
        <f t="shared" si="4"/>
        <v>0.12270764331068684</v>
      </c>
      <c r="G12" s="27">
        <f t="shared" si="4"/>
        <v>0.12308202939234023</v>
      </c>
      <c r="H12" s="27">
        <f t="shared" si="4"/>
        <v>0.12345641547399373</v>
      </c>
      <c r="I12" s="27">
        <f t="shared" si="4"/>
        <v>0.12345641547399376</v>
      </c>
    </row>
    <row r="13" spans="1:9" x14ac:dyDescent="0.35">
      <c r="A13" s="11" t="s">
        <v>116</v>
      </c>
      <c r="C13" s="29">
        <f>-MAX(C11,0)*Inputs!$B$10</f>
        <v>-106.18799578829524</v>
      </c>
      <c r="D13" s="29">
        <f>-MAX(D11,0)*Inputs!$B$10</f>
        <v>-114.78053447714797</v>
      </c>
      <c r="E13" s="29">
        <f>-MAX(E11,0)*Inputs!$B$10</f>
        <v>-122.4092830054158</v>
      </c>
      <c r="F13" s="29">
        <f>-MAX(F11,0)*Inputs!$B$10</f>
        <v>-128.77575616035858</v>
      </c>
      <c r="G13" s="29">
        <f>-MAX(G11,0)*Inputs!$B$10</f>
        <v>-133.61205808151647</v>
      </c>
      <c r="H13" s="29">
        <f>-MAX(H11,0)*Inputs!$B$10</f>
        <v>-136.69884347057331</v>
      </c>
      <c r="I13" s="29">
        <f>-MAX(I11,0)*Inputs!$B$10</f>
        <v>-139.4328203399848</v>
      </c>
    </row>
    <row r="14" spans="1:9" x14ac:dyDescent="0.35">
      <c r="A14" s="3" t="s">
        <v>100</v>
      </c>
      <c r="B14" s="32">
        <f>Historicals!E17</f>
        <v>366.78021900370652</v>
      </c>
      <c r="C14" s="28">
        <f t="shared" ref="C14:I14" si="5">C11+C13</f>
        <v>376.48471234031945</v>
      </c>
      <c r="D14" s="28">
        <f t="shared" si="5"/>
        <v>406.94916769170641</v>
      </c>
      <c r="E14" s="28">
        <f t="shared" si="5"/>
        <v>433.99654883738333</v>
      </c>
      <c r="F14" s="28">
        <f t="shared" si="5"/>
        <v>456.56859002308954</v>
      </c>
      <c r="G14" s="28">
        <f t="shared" si="5"/>
        <v>473.71547865264927</v>
      </c>
      <c r="H14" s="28">
        <f t="shared" si="5"/>
        <v>484.65953594112358</v>
      </c>
      <c r="I14" s="28">
        <f t="shared" si="5"/>
        <v>494.35272665994614</v>
      </c>
    </row>
    <row r="15" spans="1:9" x14ac:dyDescent="0.35">
      <c r="A15" s="26" t="s">
        <v>78</v>
      </c>
      <c r="C15" s="31">
        <f>Inputs!B36</f>
        <v>1.022177785544261E-2</v>
      </c>
      <c r="D15" s="31">
        <f>Inputs!C36</f>
        <v>1.022177785544261E-2</v>
      </c>
      <c r="E15" s="31">
        <f>Inputs!D36</f>
        <v>1.022177785544261E-2</v>
      </c>
      <c r="F15" s="31">
        <f>Inputs!E36</f>
        <v>1.022177785544261E-2</v>
      </c>
      <c r="G15" s="31">
        <f>Inputs!F36</f>
        <v>1.022177785544261E-2</v>
      </c>
      <c r="H15" s="31">
        <f>Inputs!G36</f>
        <v>1.022177785544261E-2</v>
      </c>
      <c r="I15" s="27">
        <f>H15</f>
        <v>1.022177785544261E-2</v>
      </c>
    </row>
    <row r="16" spans="1:9" x14ac:dyDescent="0.35">
      <c r="A16" s="11" t="s">
        <v>101</v>
      </c>
      <c r="B16" s="32">
        <f>Historicals!E18</f>
        <v>-26.32</v>
      </c>
      <c r="C16" s="29">
        <f t="shared" ref="C16:I16" si="6">-C6*C15</f>
        <v>-40.578970225588257</v>
      </c>
      <c r="D16" s="29">
        <f t="shared" si="6"/>
        <v>-43.727898315093903</v>
      </c>
      <c r="E16" s="29">
        <f t="shared" si="6"/>
        <v>-46.491501488607838</v>
      </c>
      <c r="F16" s="29">
        <f t="shared" si="6"/>
        <v>-48.760286761251898</v>
      </c>
      <c r="G16" s="29">
        <f t="shared" si="6"/>
        <v>-50.437640625838959</v>
      </c>
      <c r="H16" s="29">
        <f t="shared" si="6"/>
        <v>-51.446393438355734</v>
      </c>
      <c r="I16" s="29">
        <f t="shared" si="6"/>
        <v>-52.475321307122854</v>
      </c>
    </row>
    <row r="17" spans="1:9" x14ac:dyDescent="0.35">
      <c r="A17" s="26" t="s">
        <v>79</v>
      </c>
      <c r="C17" s="31">
        <f>Inputs!B37</f>
        <v>-6.9648947052931273E-2</v>
      </c>
      <c r="D17" s="31">
        <f>Inputs!C37</f>
        <v>-6.9648947052931273E-2</v>
      </c>
      <c r="E17" s="31">
        <f>Inputs!D37</f>
        <v>-6.9648947052931273E-2</v>
      </c>
      <c r="F17" s="31">
        <f>Inputs!E37</f>
        <v>-6.9648947052931273E-2</v>
      </c>
      <c r="G17" s="31">
        <f>Inputs!F37</f>
        <v>-6.9648947052931273E-2</v>
      </c>
      <c r="H17" s="31">
        <f>Inputs!G37</f>
        <v>-6.9648947052931273E-2</v>
      </c>
      <c r="I17" s="27">
        <f>H17</f>
        <v>-6.9648947052931273E-2</v>
      </c>
    </row>
    <row r="18" spans="1:9" x14ac:dyDescent="0.35">
      <c r="A18" s="11" t="s">
        <v>102</v>
      </c>
      <c r="B18" s="32">
        <f>Historicals!E19</f>
        <v>-106.29900000000001</v>
      </c>
      <c r="C18" s="29">
        <f t="shared" ref="C18:I18" si="7">-C17*(C6-B6)</f>
        <v>4.005611385760611</v>
      </c>
      <c r="D18" s="29">
        <f t="shared" si="7"/>
        <v>21.456103711223736</v>
      </c>
      <c r="E18" s="29">
        <f t="shared" si="7"/>
        <v>18.830584447195474</v>
      </c>
      <c r="F18" s="29">
        <f t="shared" si="7"/>
        <v>15.459004056199388</v>
      </c>
      <c r="G18" s="29">
        <f t="shared" si="7"/>
        <v>11.429120467673799</v>
      </c>
      <c r="H18" s="29">
        <f t="shared" si="7"/>
        <v>6.8734198905591946</v>
      </c>
      <c r="I18" s="29">
        <f t="shared" si="7"/>
        <v>7.0108882883703671</v>
      </c>
    </row>
    <row r="19" spans="1:9" x14ac:dyDescent="0.35">
      <c r="A19" s="3" t="s">
        <v>103</v>
      </c>
      <c r="B19" s="32">
        <f>Historicals!E20</f>
        <v>275.94221900370655</v>
      </c>
      <c r="C19" s="28">
        <f t="shared" ref="C19:I19" si="8">C14+C10+C16+C18</f>
        <v>391.44858060743928</v>
      </c>
      <c r="D19" s="28">
        <f t="shared" si="8"/>
        <v>440.21388901828283</v>
      </c>
      <c r="E19" s="28">
        <f t="shared" si="8"/>
        <v>465.38205553322172</v>
      </c>
      <c r="F19" s="28">
        <f t="shared" si="8"/>
        <v>485.19519653366564</v>
      </c>
      <c r="G19" s="28">
        <f t="shared" si="8"/>
        <v>498.76516709913028</v>
      </c>
      <c r="H19" s="28">
        <f t="shared" si="8"/>
        <v>505.42593517006628</v>
      </c>
      <c r="I19" s="28">
        <f t="shared" si="8"/>
        <v>515.53445387346756</v>
      </c>
    </row>
    <row r="20" spans="1:9" x14ac:dyDescent="0.35">
      <c r="A20" s="26" t="s">
        <v>104</v>
      </c>
      <c r="C20" s="27">
        <f t="shared" ref="C20:I20" si="9">C19/C6</f>
        <v>9.8605272892667628E-2</v>
      </c>
      <c r="D20" s="27">
        <f t="shared" si="9"/>
        <v>0.10290383841457421</v>
      </c>
      <c r="E20" s="27">
        <f t="shared" si="9"/>
        <v>0.10232046368163654</v>
      </c>
      <c r="F20" s="27">
        <f t="shared" si="9"/>
        <v>0.10171305061799055</v>
      </c>
      <c r="G20" s="27">
        <f t="shared" si="9"/>
        <v>0.1010805953026321</v>
      </c>
      <c r="H20" s="27">
        <f t="shared" si="9"/>
        <v>0.10042203712254773</v>
      </c>
      <c r="I20" s="27">
        <f t="shared" si="9"/>
        <v>0.10042203712254773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"/>
  <sheetViews>
    <sheetView workbookViewId="0"/>
  </sheetViews>
  <sheetFormatPr defaultRowHeight="14.5" x14ac:dyDescent="0.35"/>
  <cols>
    <col min="1" max="1" width="34" customWidth="1"/>
    <col min="2" max="2" width="14" customWidth="1"/>
    <col min="3" max="3" width="40" customWidth="1"/>
  </cols>
  <sheetData>
    <row r="1" spans="1:3" ht="18" x14ac:dyDescent="0.4">
      <c r="A1" s="1" t="s">
        <v>117</v>
      </c>
    </row>
    <row r="2" spans="1:3" x14ac:dyDescent="0.35">
      <c r="A2" s="2" t="s">
        <v>118</v>
      </c>
    </row>
    <row r="4" spans="1:3" x14ac:dyDescent="0.35">
      <c r="A4" s="13" t="s">
        <v>119</v>
      </c>
      <c r="B4" s="14" t="s">
        <v>24</v>
      </c>
    </row>
    <row r="5" spans="1:3" x14ac:dyDescent="0.35">
      <c r="A5" s="11" t="s">
        <v>38</v>
      </c>
      <c r="B5" s="7">
        <f>Inputs!$B$12</f>
        <v>3.7999999999999999E-2</v>
      </c>
    </row>
    <row r="6" spans="1:3" x14ac:dyDescent="0.35">
      <c r="A6" s="11" t="s">
        <v>40</v>
      </c>
      <c r="B6" s="4">
        <f>Inputs!$B$14</f>
        <v>0.6</v>
      </c>
      <c r="C6" s="2" t="s">
        <v>41</v>
      </c>
    </row>
    <row r="7" spans="1:3" x14ac:dyDescent="0.35">
      <c r="A7" s="11" t="s">
        <v>39</v>
      </c>
      <c r="B7" s="7">
        <f>Inputs!$B$13</f>
        <v>0.05</v>
      </c>
    </row>
    <row r="8" spans="1:3" x14ac:dyDescent="0.35">
      <c r="A8" s="11" t="s">
        <v>42</v>
      </c>
      <c r="B8" s="7">
        <f>Inputs!$B$15</f>
        <v>1.4999999999999999E-2</v>
      </c>
    </row>
    <row r="9" spans="1:3" x14ac:dyDescent="0.35">
      <c r="A9" s="3" t="s">
        <v>120</v>
      </c>
      <c r="B9" s="33">
        <f>B5+B6*B7+B8</f>
        <v>8.3000000000000004E-2</v>
      </c>
    </row>
    <row r="10" spans="1:3" x14ac:dyDescent="0.35">
      <c r="A10" s="11" t="s">
        <v>44</v>
      </c>
      <c r="B10" s="7">
        <f>Inputs!$B$16</f>
        <v>5.8000000000000003E-2</v>
      </c>
    </row>
    <row r="11" spans="1:3" x14ac:dyDescent="0.35">
      <c r="A11" s="11" t="s">
        <v>35</v>
      </c>
      <c r="B11" s="5">
        <f>Inputs!$B$10</f>
        <v>0.22</v>
      </c>
    </row>
    <row r="12" spans="1:3" x14ac:dyDescent="0.35">
      <c r="A12" s="11" t="s">
        <v>121</v>
      </c>
      <c r="B12" s="34">
        <f>B10*(1-B11)</f>
        <v>4.5240000000000002E-2</v>
      </c>
    </row>
    <row r="13" spans="1:3" x14ac:dyDescent="0.35">
      <c r="A13" s="11" t="s">
        <v>122</v>
      </c>
      <c r="B13" s="29">
        <f>(Inputs!$B$5*Inputs!$B$6)*Inputs!$B$7</f>
        <v>4852.0086647999997</v>
      </c>
    </row>
    <row r="14" spans="1:3" x14ac:dyDescent="0.35">
      <c r="A14" s="11" t="s">
        <v>123</v>
      </c>
      <c r="B14" s="32">
        <f>Inputs!$B$17</f>
        <v>0</v>
      </c>
    </row>
    <row r="15" spans="1:3" x14ac:dyDescent="0.35">
      <c r="A15" s="11" t="s">
        <v>124</v>
      </c>
      <c r="B15" s="35">
        <f>B13/(B13+B14)</f>
        <v>1</v>
      </c>
    </row>
    <row r="16" spans="1:3" x14ac:dyDescent="0.35">
      <c r="A16" s="11" t="s">
        <v>125</v>
      </c>
      <c r="B16" s="35">
        <f>B14/(B13+B14)</f>
        <v>0</v>
      </c>
    </row>
    <row r="17" spans="1:2" x14ac:dyDescent="0.35">
      <c r="A17" s="3" t="s">
        <v>10</v>
      </c>
      <c r="B17" s="33">
        <f>B15*B9+B16*B12</f>
        <v>8.3000000000000004E-2</v>
      </c>
    </row>
    <row r="19" spans="1:2" x14ac:dyDescent="0.35">
      <c r="A19" s="9" t="s">
        <v>126</v>
      </c>
    </row>
    <row r="20" spans="1:2" x14ac:dyDescent="0.35">
      <c r="A20" s="11" t="s">
        <v>127</v>
      </c>
      <c r="B20" s="24">
        <v>0.67472609130785877</v>
      </c>
    </row>
    <row r="21" spans="1:2" x14ac:dyDescent="0.35">
      <c r="A21" s="11" t="s">
        <v>128</v>
      </c>
      <c r="B21" s="24">
        <v>0.67472609130785877</v>
      </c>
    </row>
    <row r="22" spans="1:2" x14ac:dyDescent="0.35">
      <c r="A22" s="11" t="s">
        <v>129</v>
      </c>
      <c r="B22" s="24">
        <v>0.78206648117626543</v>
      </c>
    </row>
    <row r="23" spans="1:2" x14ac:dyDescent="0.35">
      <c r="A23" s="11" t="s">
        <v>130</v>
      </c>
      <c r="B23" s="22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4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4" customWidth="1"/>
    <col min="2" max="7" width="12" customWidth="1"/>
  </cols>
  <sheetData>
    <row r="1" spans="1:7" ht="18" x14ac:dyDescent="0.4">
      <c r="A1" s="1" t="s">
        <v>131</v>
      </c>
    </row>
    <row r="2" spans="1:7" x14ac:dyDescent="0.35">
      <c r="A2" s="2" t="s">
        <v>132</v>
      </c>
    </row>
    <row r="4" spans="1:7" x14ac:dyDescent="0.35">
      <c r="A4" s="13" t="s">
        <v>133</v>
      </c>
      <c r="B4" s="14" t="s">
        <v>69</v>
      </c>
      <c r="C4" s="14" t="s">
        <v>70</v>
      </c>
      <c r="D4" s="14" t="s">
        <v>71</v>
      </c>
      <c r="E4" s="14" t="s">
        <v>72</v>
      </c>
      <c r="F4" s="14" t="s">
        <v>73</v>
      </c>
      <c r="G4" s="14" t="s">
        <v>74</v>
      </c>
    </row>
    <row r="5" spans="1:7" x14ac:dyDescent="0.35">
      <c r="A5" s="3" t="s">
        <v>103</v>
      </c>
      <c r="B5" s="36">
        <f>Forecast!C19</f>
        <v>391.44858060743928</v>
      </c>
      <c r="C5" s="36">
        <f>Forecast!D19</f>
        <v>440.21388901828283</v>
      </c>
      <c r="D5" s="36">
        <f>Forecast!E19</f>
        <v>465.38205553322172</v>
      </c>
      <c r="E5" s="36">
        <f>Forecast!F19</f>
        <v>485.19519653366564</v>
      </c>
      <c r="F5" s="36">
        <f>Forecast!G19</f>
        <v>498.76516709913028</v>
      </c>
      <c r="G5" s="36">
        <f>Forecast!H19</f>
        <v>505.42593517006628</v>
      </c>
    </row>
    <row r="6" spans="1:7" x14ac:dyDescent="0.35">
      <c r="A6" s="11" t="s">
        <v>134</v>
      </c>
      <c r="B6" s="37">
        <f>IF(Inputs!$B$18=1,(1+Inputs!$B$20)/2,1)-Inputs!$B$19</f>
        <v>0.27173169062286107</v>
      </c>
      <c r="C6" s="37">
        <f>2-Inputs!$B$19-0.5*Inputs!$B$18</f>
        <v>1.2717316906228611</v>
      </c>
      <c r="D6" s="37">
        <f>3-Inputs!$B$19-0.5*Inputs!$B$18</f>
        <v>2.2717316906228611</v>
      </c>
      <c r="E6" s="37">
        <f>4-Inputs!$B$19-0.5*Inputs!$B$18</f>
        <v>3.2717316906228611</v>
      </c>
      <c r="F6" s="37">
        <f>5-Inputs!$B$19-0.5*Inputs!$B$18</f>
        <v>4.2717316906228611</v>
      </c>
      <c r="G6" s="37">
        <f>6-Inputs!$B$19-0.5*Inputs!$B$18</f>
        <v>5.2717316906228611</v>
      </c>
    </row>
    <row r="7" spans="1:7" x14ac:dyDescent="0.35">
      <c r="A7" s="11" t="s">
        <v>135</v>
      </c>
      <c r="B7" s="37">
        <f>1/(1+WACC!$B$17)^B6</f>
        <v>0.97856651529371275</v>
      </c>
      <c r="C7" s="37">
        <f>1/(1+WACC!$B$17)^C6</f>
        <v>0.90357018956021495</v>
      </c>
      <c r="D7" s="37">
        <f>1/(1+WACC!$B$17)^D6</f>
        <v>0.83432150467240529</v>
      </c>
      <c r="E7" s="37">
        <f>1/(1+WACC!$B$17)^E6</f>
        <v>0.77037996737987569</v>
      </c>
      <c r="F7" s="37">
        <f>1/(1+WACC!$B$17)^F6</f>
        <v>0.71133884337938658</v>
      </c>
      <c r="G7" s="37">
        <f>1/(1+WACC!$B$17)^G6</f>
        <v>0.65682257006406897</v>
      </c>
    </row>
    <row r="8" spans="1:7" x14ac:dyDescent="0.35">
      <c r="A8" s="3" t="s">
        <v>136</v>
      </c>
      <c r="B8" s="28">
        <f>B5*(1-Inputs!$B$20)*B7</f>
        <v>193.23346675326965</v>
      </c>
      <c r="C8" s="28">
        <f>C5*C7</f>
        <v>397.76414714728924</v>
      </c>
      <c r="D8" s="28">
        <f>D5*D7</f>
        <v>388.27825682001441</v>
      </c>
      <c r="E8" s="28">
        <f>E5*E7</f>
        <v>373.78465967847768</v>
      </c>
      <c r="F8" s="28">
        <f>F5*F7</f>
        <v>354.79103708222181</v>
      </c>
      <c r="G8" s="28">
        <f>G5*G7</f>
        <v>331.97516171543845</v>
      </c>
    </row>
    <row r="10" spans="1:7" x14ac:dyDescent="0.35">
      <c r="A10" s="3" t="s">
        <v>137</v>
      </c>
      <c r="B10" s="28">
        <f>SUM(B8:G8)</f>
        <v>2039.8267291967113</v>
      </c>
    </row>
    <row r="11" spans="1:7" x14ac:dyDescent="0.35">
      <c r="A11" s="11" t="s">
        <v>11</v>
      </c>
      <c r="B11" s="7">
        <f>Inputs!$B$11</f>
        <v>0.02</v>
      </c>
    </row>
    <row r="12" spans="1:7" x14ac:dyDescent="0.35">
      <c r="A12" s="11" t="s">
        <v>10</v>
      </c>
      <c r="B12" s="7">
        <f>WACC!$B$17</f>
        <v>8.3000000000000004E-2</v>
      </c>
    </row>
    <row r="13" spans="1:7" x14ac:dyDescent="0.35">
      <c r="A13" s="11" t="s">
        <v>138</v>
      </c>
      <c r="B13" s="29">
        <f>IF(Inputs!$B$21=1,Forecast!$H$14*(1+B11)*(1-B11/Inputs!$B$22),$G$5*(1+B11))</f>
        <v>515.53445387346767</v>
      </c>
    </row>
    <row r="14" spans="1:7" x14ac:dyDescent="0.35">
      <c r="A14" s="3" t="s">
        <v>139</v>
      </c>
      <c r="B14" s="28">
        <f>B13/(B12-B11)</f>
        <v>8183.086569420122</v>
      </c>
    </row>
    <row r="15" spans="1:7" x14ac:dyDescent="0.35">
      <c r="A15" s="3" t="s">
        <v>140</v>
      </c>
      <c r="B15" s="28">
        <f>B14/(1+B12)^(6-Inputs!$B$19)</f>
        <v>5374.8359515832899</v>
      </c>
    </row>
    <row r="16" spans="1:7" x14ac:dyDescent="0.35">
      <c r="A16" s="3" t="s">
        <v>141</v>
      </c>
      <c r="B16" s="28">
        <f>B10+B15</f>
        <v>7414.6626807800012</v>
      </c>
    </row>
    <row r="17" spans="1:2" x14ac:dyDescent="0.35">
      <c r="A17" s="11" t="s">
        <v>142</v>
      </c>
      <c r="B17" s="32">
        <f>-Inputs!$B$8</f>
        <v>159.733</v>
      </c>
    </row>
    <row r="18" spans="1:2" x14ac:dyDescent="0.35">
      <c r="A18" s="11" t="s">
        <v>143</v>
      </c>
      <c r="B18" s="32">
        <f>-Inputs!$B$9</f>
        <v>0</v>
      </c>
    </row>
    <row r="19" spans="1:2" x14ac:dyDescent="0.35">
      <c r="A19" s="3" t="s">
        <v>144</v>
      </c>
      <c r="B19" s="28">
        <f>B16+B17+B18</f>
        <v>7574.3956807800014</v>
      </c>
    </row>
    <row r="20" spans="1:2" x14ac:dyDescent="0.35">
      <c r="A20" s="11" t="s">
        <v>29</v>
      </c>
      <c r="B20" s="38">
        <f>Inputs!$B$7</f>
        <v>102.363052</v>
      </c>
    </row>
    <row r="21" spans="1:2" x14ac:dyDescent="0.35">
      <c r="A21" s="3" t="s">
        <v>145</v>
      </c>
      <c r="B21" s="39">
        <f>B19/B20/Inputs!$B$6</f>
        <v>73.995406865946137</v>
      </c>
    </row>
    <row r="22" spans="1:2" x14ac:dyDescent="0.35">
      <c r="A22" s="11" t="s">
        <v>146</v>
      </c>
      <c r="B22" s="4">
        <f>Inputs!$B$5</f>
        <v>47.4</v>
      </c>
    </row>
    <row r="23" spans="1:2" x14ac:dyDescent="0.35">
      <c r="A23" s="3" t="s">
        <v>147</v>
      </c>
      <c r="B23" s="40">
        <f>B21/B22-1</f>
        <v>0.56108453303683836</v>
      </c>
    </row>
    <row r="24" spans="1:2" x14ac:dyDescent="0.35">
      <c r="A24" s="11" t="s">
        <v>148</v>
      </c>
      <c r="B24" s="35">
        <f>B15/B16</f>
        <v>0.72489284853318137</v>
      </c>
    </row>
    <row r="25" spans="1:2" x14ac:dyDescent="0.35">
      <c r="A25" s="11" t="s">
        <v>149</v>
      </c>
      <c r="B25" s="30">
        <f>B14/Forecast!H8</f>
        <v>11.916576897683814</v>
      </c>
    </row>
    <row r="26" spans="1:2" x14ac:dyDescent="0.35">
      <c r="A26" s="11" t="s">
        <v>150</v>
      </c>
      <c r="B26" s="4">
        <f>Inputs!$B$26*B21+(1-Inputs!$B$26)*Inputs!$B$27</f>
        <v>73.995406865946137</v>
      </c>
    </row>
    <row r="27" spans="1:2" x14ac:dyDescent="0.35">
      <c r="A27" s="11" t="s">
        <v>120</v>
      </c>
      <c r="B27" s="7">
        <f>WACC!$B$9</f>
        <v>8.3000000000000004E-2</v>
      </c>
    </row>
    <row r="28" spans="1:2" x14ac:dyDescent="0.35">
      <c r="A28" s="11" t="s">
        <v>57</v>
      </c>
      <c r="B28" s="41">
        <f>IF(Inputs!$B$24&gt;0,Inputs!$B$23,0)</f>
        <v>3</v>
      </c>
    </row>
    <row r="29" spans="1:2" x14ac:dyDescent="0.35">
      <c r="A29" s="11" t="s">
        <v>151</v>
      </c>
      <c r="B29" s="41">
        <f>IF(B26&lt;=0,0,B26*(1+B27)^(Inputs!$B$24/12)-B28)</f>
        <v>77.137025635819668</v>
      </c>
    </row>
    <row r="30" spans="1:2" x14ac:dyDescent="0.35">
      <c r="A30" s="3" t="s">
        <v>5</v>
      </c>
      <c r="B30" s="39">
        <f>IF(Inputs!$B$25&gt;0,MROUND(B29,Inputs!$B$25),B29)</f>
        <v>77</v>
      </c>
    </row>
    <row r="31" spans="1:2" x14ac:dyDescent="0.35">
      <c r="A31" s="3" t="s">
        <v>6</v>
      </c>
      <c r="B31" s="40">
        <f>B30/B22-1</f>
        <v>0.62447257383966259</v>
      </c>
    </row>
    <row r="32" spans="1:2" x14ac:dyDescent="0.35">
      <c r="A32" s="3" t="s">
        <v>152</v>
      </c>
      <c r="B32" s="40">
        <f>(B30+B28)/B22-1</f>
        <v>0.68776371308016881</v>
      </c>
    </row>
    <row r="33" spans="1:8" x14ac:dyDescent="0.35">
      <c r="A33" s="3" t="s">
        <v>8</v>
      </c>
      <c r="B33" s="3" t="str">
        <f>IF(B26&lt;=0,"NOT RATED",IF(B32&gt;=Inputs!$B$28,"BUY",IF(B32&lt;=Inputs!$B$29,"SELL","HOLD")))</f>
        <v>BUY</v>
      </c>
    </row>
    <row r="36" spans="1:8" x14ac:dyDescent="0.35">
      <c r="A36" s="9" t="s">
        <v>153</v>
      </c>
    </row>
    <row r="37" spans="1:8" x14ac:dyDescent="0.35">
      <c r="A37" s="14" t="s">
        <v>154</v>
      </c>
      <c r="B37" s="42">
        <f>WACC!$B$17+(-3)*0.005</f>
        <v>6.8000000000000005E-2</v>
      </c>
      <c r="C37" s="42">
        <f>WACC!$B$17+(-2)*0.005</f>
        <v>7.3000000000000009E-2</v>
      </c>
      <c r="D37" s="42">
        <f>WACC!$B$17+(-1)*0.005</f>
        <v>7.8E-2</v>
      </c>
      <c r="E37" s="42">
        <f>WACC!$B$17+(0)*0.005</f>
        <v>8.3000000000000004E-2</v>
      </c>
      <c r="F37" s="42">
        <f>WACC!$B$17+(1)*0.005</f>
        <v>8.8000000000000009E-2</v>
      </c>
      <c r="G37" s="42">
        <f>WACC!$B$17+(2)*0.005</f>
        <v>9.2999999999999999E-2</v>
      </c>
      <c r="H37" s="42">
        <f>WACC!$B$17+(3)*0.005</f>
        <v>9.8000000000000004E-2</v>
      </c>
    </row>
    <row r="38" spans="1:8" x14ac:dyDescent="0.35">
      <c r="A38" s="42">
        <f>Inputs!$B$11+(-3)*0.0025</f>
        <v>1.2500000000000001E-2</v>
      </c>
      <c r="B38" s="43">
        <f>IF(B$37&lt;=$A38,"n.m.",(SUMPRODUCT($B$5:$G$5,(1+B$37)^(-DCF!$B$6:$G$6))-$B$5*Inputs!$B$20*(1+B$37)^(-DCF!$B$6)+IF(Inputs!$B$21=1,Forecast!$H$14*(1+$A38)*(1-$A38/Inputs!$B$22),$G$5*(1+$A38))/(B$37-$A38)/(1+B$37)^(6-Inputs!$B$19)-Inputs!$B$8-Inputs!$B$9)/Inputs!$B$7/Inputs!$B$6)</f>
        <v>85.99636321598912</v>
      </c>
      <c r="C38" s="43">
        <f>IF(C$37&lt;=$A38,"n.m.",(SUMPRODUCT($B$5:$G$5,(1+C$37)^(-DCF!$B$6:$G$6))-$B$5*Inputs!$B$20*(1+C$37)^(-DCF!$B$6)+IF(Inputs!$B$21=1,Forecast!$H$14*(1+$A38)*(1-$A38/Inputs!$B$22),$G$5*(1+$A38))/(C$37-$A38)/(1+C$37)^(6-Inputs!$B$19)-Inputs!$B$8-Inputs!$B$9)/Inputs!$B$7/Inputs!$B$6)</f>
        <v>79.030142024311644</v>
      </c>
      <c r="D38" s="43">
        <f>IF(D$37&lt;=$A38,"n.m.",(SUMPRODUCT($B$5:$G$5,(1+D$37)^(-DCF!$B$6:$G$6))-$B$5*Inputs!$B$20*(1+D$37)^(-DCF!$B$6)+IF(Inputs!$B$21=1,Forecast!$H$14*(1+$A38)*(1-$A38/Inputs!$B$22),$G$5*(1+$A38))/(D$37-$A38)/(1+D$37)^(6-Inputs!$B$19)-Inputs!$B$8-Inputs!$B$9)/Inputs!$B$7/Inputs!$B$6)</f>
        <v>73.12834473702047</v>
      </c>
      <c r="E38" s="43">
        <f>IF(E$37&lt;=$A38,"n.m.",(SUMPRODUCT($B$5:$G$5,(1+E$37)^(-DCF!$B$6:$G$6))-$B$5*Inputs!$B$20*(1+E$37)^(-DCF!$B$6)+IF(Inputs!$B$21=1,Forecast!$H$14*(1+$A38)*(1-$A38/Inputs!$B$22),$G$5*(1+$A38))/(E$37-$A38)/(1+E$37)^(6-Inputs!$B$19)-Inputs!$B$8-Inputs!$B$9)/Inputs!$B$7/Inputs!$B$6)</f>
        <v>68.064482050959697</v>
      </c>
      <c r="F38" s="43">
        <f>IF(F$37&lt;=$A38,"n.m.",(SUMPRODUCT($B$5:$G$5,(1+F$37)^(-DCF!$B$6:$G$6))-$B$5*Inputs!$B$20*(1+F$37)^(-DCF!$B$6)+IF(Inputs!$B$21=1,Forecast!$H$14*(1+$A38)*(1-$A38/Inputs!$B$22),$G$5*(1+$A38))/(F$37-$A38)/(1+F$37)^(6-Inputs!$B$19)-Inputs!$B$8-Inputs!$B$9)/Inputs!$B$7/Inputs!$B$6)</f>
        <v>63.67206220145642</v>
      </c>
      <c r="G38" s="43">
        <f>IF(G$37&lt;=$A38,"n.m.",(SUMPRODUCT($B$5:$G$5,(1+G$37)^(-DCF!$B$6:$G$6))-$B$5*Inputs!$B$20*(1+G$37)^(-DCF!$B$6)+IF(Inputs!$B$21=1,Forecast!$H$14*(1+$A38)*(1-$A38/Inputs!$B$22),$G$5*(1+$A38))/(G$37-$A38)/(1+G$37)^(6-Inputs!$B$19)-Inputs!$B$8-Inputs!$B$9)/Inputs!$B$7/Inputs!$B$6)</f>
        <v>59.825958175967102</v>
      </c>
      <c r="H38" s="43">
        <f>IF(H$37&lt;=$A38,"n.m.",(SUMPRODUCT($B$5:$G$5,(1+H$37)^(-DCF!$B$6:$G$6))-$B$5*Inputs!$B$20*(1+H$37)^(-DCF!$B$6)+IF(Inputs!$B$21=1,Forecast!$H$14*(1+$A38)*(1-$A38/Inputs!$B$22),$G$5*(1+$A38))/(H$37-$A38)/(1+H$37)^(6-Inputs!$B$19)-Inputs!$B$8-Inputs!$B$9)/Inputs!$B$7/Inputs!$B$6)</f>
        <v>56.43031274783889</v>
      </c>
    </row>
    <row r="39" spans="1:8" x14ac:dyDescent="0.35">
      <c r="A39" s="42">
        <f>Inputs!$B$11+(-2)*0.0025</f>
        <v>1.4999999999999999E-2</v>
      </c>
      <c r="B39" s="43">
        <f>IF(B$37&lt;=$A39,"n.m.",(SUMPRODUCT($B$5:$G$5,(1+B$37)^(-DCF!$B$6:$G$6))-$B$5*Inputs!$B$20*(1+B$37)^(-DCF!$B$6)+IF(Inputs!$B$21=1,Forecast!$H$14*(1+$A39)*(1-$A39/Inputs!$B$22),$G$5*(1+$A39))/(B$37-$A39)/(1+B$37)^(6-Inputs!$B$19)-Inputs!$B$8-Inputs!$B$9)/Inputs!$B$7/Inputs!$B$6)</f>
        <v>89.164739308647725</v>
      </c>
      <c r="C39" s="43">
        <f>IF(C$37&lt;=$A39,"n.m.",(SUMPRODUCT($B$5:$G$5,(1+C$37)^(-DCF!$B$6:$G$6))-$B$5*Inputs!$B$20*(1+C$37)^(-DCF!$B$6)+IF(Inputs!$B$21=1,Forecast!$H$14*(1+$A39)*(1-$A39/Inputs!$B$22),$G$5*(1+$A39))/(C$37-$A39)/(1+C$37)^(6-Inputs!$B$19)-Inputs!$B$8-Inputs!$B$9)/Inputs!$B$7/Inputs!$B$6)</f>
        <v>81.633639348419933</v>
      </c>
      <c r="D39" s="43">
        <f>IF(D$37&lt;=$A39,"n.m.",(SUMPRODUCT($B$5:$G$5,(1+D$37)^(-DCF!$B$6:$G$6))-$B$5*Inputs!$B$20*(1+D$37)^(-DCF!$B$6)+IF(Inputs!$B$21=1,Forecast!$H$14*(1+$A39)*(1-$A39/Inputs!$B$22),$G$5*(1+$A39))/(D$37-$A39)/(1+D$37)^(6-Inputs!$B$19)-Inputs!$B$8-Inputs!$B$9)/Inputs!$B$7/Inputs!$B$6)</f>
        <v>75.298715158182475</v>
      </c>
      <c r="E39" s="43">
        <f>IF(E$37&lt;=$A39,"n.m.",(SUMPRODUCT($B$5:$G$5,(1+E$37)^(-DCF!$B$6:$G$6))-$B$5*Inputs!$B$20*(1+E$37)^(-DCF!$B$6)+IF(Inputs!$B$21=1,Forecast!$H$14*(1+$A39)*(1-$A39/Inputs!$B$22),$G$5*(1+$A39))/(E$37-$A39)/(1+E$37)^(6-Inputs!$B$19)-Inputs!$B$8-Inputs!$B$9)/Inputs!$B$7/Inputs!$B$6)</f>
        <v>69.896091184999619</v>
      </c>
      <c r="F39" s="43">
        <f>IF(F$37&lt;=$A39,"n.m.",(SUMPRODUCT($B$5:$G$5,(1+F$37)^(-DCF!$B$6:$G$6))-$B$5*Inputs!$B$20*(1+F$37)^(-DCF!$B$6)+IF(Inputs!$B$21=1,Forecast!$H$14*(1+$A39)*(1-$A39/Inputs!$B$22),$G$5*(1+$A39))/(F$37-$A39)/(1+F$37)^(6-Inputs!$B$19)-Inputs!$B$8-Inputs!$B$9)/Inputs!$B$7/Inputs!$B$6)</f>
        <v>65.234186835330235</v>
      </c>
      <c r="G39" s="43">
        <f>IF(G$37&lt;=$A39,"n.m.",(SUMPRODUCT($B$5:$G$5,(1+G$37)^(-DCF!$B$6:$G$6))-$B$5*Inputs!$B$20*(1+G$37)^(-DCF!$B$6)+IF(Inputs!$B$21=1,Forecast!$H$14*(1+$A39)*(1-$A39/Inputs!$B$22),$G$5*(1+$A39))/(G$37-$A39)/(1+G$37)^(6-Inputs!$B$19)-Inputs!$B$8-Inputs!$B$9)/Inputs!$B$7/Inputs!$B$6)</f>
        <v>61.170545006116356</v>
      </c>
      <c r="H39" s="43">
        <f>IF(H$37&lt;=$A39,"n.m.",(SUMPRODUCT($B$5:$G$5,(1+H$37)^(-DCF!$B$6:$G$6))-$B$5*Inputs!$B$20*(1+H$37)^(-DCF!$B$6)+IF(Inputs!$B$21=1,Forecast!$H$14*(1+$A39)*(1-$A39/Inputs!$B$22),$G$5*(1+$A39))/(H$37-$A39)/(1+H$37)^(6-Inputs!$B$19)-Inputs!$B$8-Inputs!$B$9)/Inputs!$B$7/Inputs!$B$6)</f>
        <v>57.597035845831499</v>
      </c>
    </row>
    <row r="40" spans="1:8" x14ac:dyDescent="0.35">
      <c r="A40" s="42">
        <f>Inputs!$B$11+(-1)*0.0025</f>
        <v>1.7500000000000002E-2</v>
      </c>
      <c r="B40" s="43">
        <f>IF(B$37&lt;=$A40,"n.m.",(SUMPRODUCT($B$5:$G$5,(1+B$37)^(-DCF!$B$6:$G$6))-$B$5*Inputs!$B$20*(1+B$37)^(-DCF!$B$6)+IF(Inputs!$B$21=1,Forecast!$H$14*(1+$A40)*(1-$A40/Inputs!$B$22),$G$5*(1+$A40))/(B$37-$A40)/(1+B$37)^(6-Inputs!$B$19)-Inputs!$B$8-Inputs!$B$9)/Inputs!$B$7/Inputs!$B$6)</f>
        <v>92.646816004539872</v>
      </c>
      <c r="C40" s="43">
        <f>IF(C$37&lt;=$A40,"n.m.",(SUMPRODUCT($B$5:$G$5,(1+C$37)^(-DCF!$B$6:$G$6))-$B$5*Inputs!$B$20*(1+C$37)^(-DCF!$B$6)+IF(Inputs!$B$21=1,Forecast!$H$14*(1+$A40)*(1-$A40/Inputs!$B$22),$G$5*(1+$A40))/(C$37-$A40)/(1+C$37)^(6-Inputs!$B$19)-Inputs!$B$8-Inputs!$B$9)/Inputs!$B$7/Inputs!$B$6)</f>
        <v>84.471685981006502</v>
      </c>
      <c r="D40" s="43">
        <f>IF(D$37&lt;=$A40,"n.m.",(SUMPRODUCT($B$5:$G$5,(1+D$37)^(-DCF!$B$6:$G$6))-$B$5*Inputs!$B$20*(1+D$37)^(-DCF!$B$6)+IF(Inputs!$B$21=1,Forecast!$H$14*(1+$A40)*(1-$A40/Inputs!$B$22),$G$5*(1+$A40))/(D$37-$A40)/(1+D$37)^(6-Inputs!$B$19)-Inputs!$B$8-Inputs!$B$9)/Inputs!$B$7/Inputs!$B$6)</f>
        <v>77.648455035638861</v>
      </c>
      <c r="E40" s="43">
        <f>IF(E$37&lt;=$A40,"n.m.",(SUMPRODUCT($B$5:$G$5,(1+E$37)^(-DCF!$B$6:$G$6))-$B$5*Inputs!$B$20*(1+E$37)^(-DCF!$B$6)+IF(Inputs!$B$21=1,Forecast!$H$14*(1+$A40)*(1-$A40/Inputs!$B$22),$G$5*(1+$A40))/(E$37-$A40)/(1+E$37)^(6-Inputs!$B$19)-Inputs!$B$8-Inputs!$B$9)/Inputs!$B$7/Inputs!$B$6)</f>
        <v>71.867517810187636</v>
      </c>
      <c r="F40" s="43">
        <f>IF(F$37&lt;=$A40,"n.m.",(SUMPRODUCT($B$5:$G$5,(1+F$37)^(-DCF!$B$6:$G$6))-$B$5*Inputs!$B$20*(1+F$37)^(-DCF!$B$6)+IF(Inputs!$B$21=1,Forecast!$H$14*(1+$A40)*(1-$A40/Inputs!$B$22),$G$5*(1+$A40))/(F$37-$A40)/(1+F$37)^(6-Inputs!$B$19)-Inputs!$B$8-Inputs!$B$9)/Inputs!$B$7/Inputs!$B$6)</f>
        <v>66.907100450329892</v>
      </c>
      <c r="G40" s="43">
        <f>IF(G$37&lt;=$A40,"n.m.",(SUMPRODUCT($B$5:$G$5,(1+G$37)^(-DCF!$B$6:$G$6))-$B$5*Inputs!$B$20*(1+G$37)^(-DCF!$B$6)+IF(Inputs!$B$21=1,Forecast!$H$14*(1+$A40)*(1-$A40/Inputs!$B$22),$G$5*(1+$A40))/(G$37-$A40)/(1+G$37)^(6-Inputs!$B$19)-Inputs!$B$8-Inputs!$B$9)/Inputs!$B$7/Inputs!$B$6)</f>
        <v>62.604177321705968</v>
      </c>
      <c r="H40" s="43">
        <f>IF(H$37&lt;=$A40,"n.m.",(SUMPRODUCT($B$5:$G$5,(1+H$37)^(-DCF!$B$6:$G$6))-$B$5*Inputs!$B$20*(1+H$37)^(-DCF!$B$6)+IF(Inputs!$B$21=1,Forecast!$H$14*(1+$A40)*(1-$A40/Inputs!$B$22),$G$5*(1+$A40))/(H$37-$A40)/(1+H$37)^(6-Inputs!$B$19)-Inputs!$B$8-Inputs!$B$9)/Inputs!$B$7/Inputs!$B$6)</f>
        <v>58.836226216991356</v>
      </c>
    </row>
    <row r="41" spans="1:8" x14ac:dyDescent="0.35">
      <c r="A41" s="42">
        <f>Inputs!$B$11+(0)*0.0025</f>
        <v>0.02</v>
      </c>
      <c r="B41" s="43">
        <f>IF(B$37&lt;=$A41,"n.m.",(SUMPRODUCT($B$5:$G$5,(1+B$37)^(-DCF!$B$6:$G$6))-$B$5*Inputs!$B$20*(1+B$37)^(-DCF!$B$6)+IF(Inputs!$B$21=1,Forecast!$H$14*(1+$A41)*(1-$A41/Inputs!$B$22),$G$5*(1+$A41))/(B$37-$A41)/(1+B$37)^(6-Inputs!$B$19)-Inputs!$B$8-Inputs!$B$9)/Inputs!$B$7/Inputs!$B$6)</f>
        <v>96.491609022920755</v>
      </c>
      <c r="C41" s="43">
        <f>IF(C$37&lt;=$A41,"n.m.",(SUMPRODUCT($B$5:$G$5,(1+C$37)^(-DCF!$B$6:$G$6))-$B$5*Inputs!$B$20*(1+C$37)^(-DCF!$B$6)+IF(Inputs!$B$21=1,Forecast!$H$14*(1+$A41)*(1-$A41/Inputs!$B$22),$G$5*(1+$A41))/(C$37-$A41)/(1+C$37)^(6-Inputs!$B$19)-Inputs!$B$8-Inputs!$B$9)/Inputs!$B$7/Inputs!$B$6)</f>
        <v>87.577472861950284</v>
      </c>
      <c r="D41" s="43">
        <f>IF(D$37&lt;=$A41,"n.m.",(SUMPRODUCT($B$5:$G$5,(1+D$37)^(-DCF!$B$6:$G$6))-$B$5*Inputs!$B$20*(1+D$37)^(-DCF!$B$6)+IF(Inputs!$B$21=1,Forecast!$H$14*(1+$A41)*(1-$A41/Inputs!$B$22),$G$5*(1+$A41))/(D$37-$A41)/(1+D$37)^(6-Inputs!$B$19)-Inputs!$B$8-Inputs!$B$9)/Inputs!$B$7/Inputs!$B$6)</f>
        <v>80.20075869563459</v>
      </c>
      <c r="E41" s="44">
        <f>IF(E$37&lt;=$A41,"n.m.",(SUMPRODUCT($B$5:$G$5,(1+E$37)^(-DCF!$B$6:$G$6))-$B$5*Inputs!$B$20*(1+E$37)^(-DCF!$B$6)+IF(Inputs!$B$21=1,Forecast!$H$14*(1+$A41)*(1-$A41/Inputs!$B$22),$G$5*(1+$A41))/(E$37-$A41)/(1+E$37)^(6-Inputs!$B$19)-Inputs!$B$8-Inputs!$B$9)/Inputs!$B$7/Inputs!$B$6)</f>
        <v>73.995406865946137</v>
      </c>
      <c r="F41" s="43">
        <f>IF(F$37&lt;=$A41,"n.m.",(SUMPRODUCT($B$5:$G$5,(1+F$37)^(-DCF!$B$6:$G$6))-$B$5*Inputs!$B$20*(1+F$37)^(-DCF!$B$6)+IF(Inputs!$B$21=1,Forecast!$H$14*(1+$A41)*(1-$A41/Inputs!$B$22),$G$5*(1+$A41))/(F$37-$A41)/(1+F$37)^(6-Inputs!$B$19)-Inputs!$B$8-Inputs!$B$9)/Inputs!$B$7/Inputs!$B$6)</f>
        <v>68.703022419373625</v>
      </c>
      <c r="G41" s="43">
        <f>IF(G$37&lt;=$A41,"n.m.",(SUMPRODUCT($B$5:$G$5,(1+G$37)^(-DCF!$B$6:$G$6))-$B$5*Inputs!$B$20*(1+G$37)^(-DCF!$B$6)+IF(Inputs!$B$21=1,Forecast!$H$14*(1+$A41)*(1-$A41/Inputs!$B$22),$G$5*(1+$A41))/(G$37-$A41)/(1+G$37)^(6-Inputs!$B$19)-Inputs!$B$8-Inputs!$B$9)/Inputs!$B$7/Inputs!$B$6)</f>
        <v>64.136003631514043</v>
      </c>
      <c r="H41" s="43">
        <f>IF(H$37&lt;=$A41,"n.m.",(SUMPRODUCT($B$5:$G$5,(1+H$37)^(-DCF!$B$6:$G$6))-$B$5*Inputs!$B$20*(1+H$37)^(-DCF!$B$6)+IF(Inputs!$B$21=1,Forecast!$H$14*(1+$A41)*(1-$A41/Inputs!$B$22),$G$5*(1+$A41))/(H$37-$A41)/(1+H$37)^(6-Inputs!$B$19)-Inputs!$B$8-Inputs!$B$9)/Inputs!$B$7/Inputs!$B$6)</f>
        <v>60.154851868353767</v>
      </c>
    </row>
    <row r="42" spans="1:8" x14ac:dyDescent="0.35">
      <c r="A42" s="42">
        <f>Inputs!$B$11+(1)*0.0025</f>
        <v>2.2499999999999999E-2</v>
      </c>
      <c r="B42" s="43">
        <f>IF(B$37&lt;=$A42,"n.m.",(SUMPRODUCT($B$5:$G$5,(1+B$37)^(-DCF!$B$6:$G$6))-$B$5*Inputs!$B$20*(1+B$37)^(-DCF!$B$6)+IF(Inputs!$B$21=1,Forecast!$H$14*(1+$A42)*(1-$A42/Inputs!$B$22),$G$5*(1+$A42))/(B$37-$A42)/(1+B$37)^(6-Inputs!$B$19)-Inputs!$B$8-Inputs!$B$9)/Inputs!$B$7/Inputs!$B$6)</f>
        <v>100.75890676859622</v>
      </c>
      <c r="C42" s="43">
        <f>IF(C$37&lt;=$A42,"n.m.",(SUMPRODUCT($B$5:$G$5,(1+C$37)^(-DCF!$B$6:$G$6))-$B$5*Inputs!$B$20*(1+C$37)^(-DCF!$B$6)+IF(Inputs!$B$21=1,Forecast!$H$14*(1+$A42)*(1-$A42/Inputs!$B$22),$G$5*(1+$A42))/(C$37-$A42)/(1+C$37)^(6-Inputs!$B$19)-Inputs!$B$8-Inputs!$B$9)/Inputs!$B$7/Inputs!$B$6)</f>
        <v>90.990763394472594</v>
      </c>
      <c r="D42" s="43">
        <f>IF(D$37&lt;=$A42,"n.m.",(SUMPRODUCT($B$5:$G$5,(1+D$37)^(-DCF!$B$6:$G$6))-$B$5*Inputs!$B$20*(1+D$37)^(-DCF!$B$6)+IF(Inputs!$B$21=1,Forecast!$H$14*(1+$A42)*(1-$A42/Inputs!$B$22),$G$5*(1+$A42))/(D$37-$A42)/(1+D$37)^(6-Inputs!$B$19)-Inputs!$B$8-Inputs!$B$9)/Inputs!$B$7/Inputs!$B$6)</f>
        <v>82.982999622296575</v>
      </c>
      <c r="E42" s="43">
        <f>IF(E$37&lt;=$A42,"n.m.",(SUMPRODUCT($B$5:$G$5,(1+E$37)^(-DCF!$B$6:$G$6))-$B$5*Inputs!$B$20*(1+E$37)^(-DCF!$B$6)+IF(Inputs!$B$21=1,Forecast!$H$14*(1+$A42)*(1-$A42/Inputs!$B$22),$G$5*(1+$A42))/(E$37-$A42)/(1+E$37)^(6-Inputs!$B$19)-Inputs!$B$8-Inputs!$B$9)/Inputs!$B$7/Inputs!$B$6)</f>
        <v>76.299154521354069</v>
      </c>
      <c r="F42" s="43">
        <f>IF(F$37&lt;=$A42,"n.m.",(SUMPRODUCT($B$5:$G$5,(1+F$37)^(-DCF!$B$6:$G$6))-$B$5*Inputs!$B$20*(1+F$37)^(-DCF!$B$6)+IF(Inputs!$B$21=1,Forecast!$H$14*(1+$A42)*(1-$A42/Inputs!$B$22),$G$5*(1+$A42))/(F$37-$A42)/(1+F$37)^(6-Inputs!$B$19)-Inputs!$B$8-Inputs!$B$9)/Inputs!$B$7/Inputs!$B$6)</f>
        <v>70.636037668497011</v>
      </c>
      <c r="G42" s="43">
        <f>IF(G$37&lt;=$A42,"n.m.",(SUMPRODUCT($B$5:$G$5,(1+G$37)^(-DCF!$B$6:$G$6))-$B$5*Inputs!$B$20*(1+G$37)^(-DCF!$B$6)+IF(Inputs!$B$21=1,Forecast!$H$14*(1+$A42)*(1-$A42/Inputs!$B$22),$G$5*(1+$A42))/(G$37-$A42)/(1+G$37)^(6-Inputs!$B$19)-Inputs!$B$8-Inputs!$B$9)/Inputs!$B$7/Inputs!$B$6)</f>
        <v>65.776470105138273</v>
      </c>
      <c r="H42" s="43">
        <f>IF(H$37&lt;=$A42,"n.m.",(SUMPRODUCT($B$5:$G$5,(1+H$37)^(-DCF!$B$6:$G$6))-$B$5*Inputs!$B$20*(1+H$37)^(-DCF!$B$6)+IF(Inputs!$B$21=1,Forecast!$H$14*(1+$A42)*(1-$A42/Inputs!$B$22),$G$5*(1+$A42))/(H$37-$A42)/(1+H$37)^(6-Inputs!$B$19)-Inputs!$B$8-Inputs!$B$9)/Inputs!$B$7/Inputs!$B$6)</f>
        <v>61.560803721793143</v>
      </c>
    </row>
    <row r="43" spans="1:8" x14ac:dyDescent="0.35">
      <c r="A43" s="42">
        <f>Inputs!$B$11+(2)*0.0025</f>
        <v>2.5000000000000001E-2</v>
      </c>
      <c r="B43" s="43">
        <f>IF(B$37&lt;=$A43,"n.m.",(SUMPRODUCT($B$5:$G$5,(1+B$37)^(-DCF!$B$6:$G$6))-$B$5*Inputs!$B$20*(1+B$37)^(-DCF!$B$6)+IF(Inputs!$B$21=1,Forecast!$H$14*(1+$A43)*(1-$A43/Inputs!$B$22),$G$5*(1+$A43))/(B$37-$A43)/(1+B$37)^(6-Inputs!$B$19)-Inputs!$B$8-Inputs!$B$9)/Inputs!$B$7/Inputs!$B$6)</f>
        <v>105.52240192655957</v>
      </c>
      <c r="C43" s="43">
        <f>IF(C$37&lt;=$A43,"n.m.",(SUMPRODUCT($B$5:$G$5,(1+C$37)^(-DCF!$B$6:$G$6))-$B$5*Inputs!$B$20*(1+C$37)^(-DCF!$B$6)+IF(Inputs!$B$21=1,Forecast!$H$14*(1+$A43)*(1-$A43/Inputs!$B$22),$G$5*(1+$A43))/(C$37-$A43)/(1+C$37)^(6-Inputs!$B$19)-Inputs!$B$8-Inputs!$B$9)/Inputs!$B$7/Inputs!$B$6)</f>
        <v>94.759605024132696</v>
      </c>
      <c r="D43" s="43">
        <f>IF(D$37&lt;=$A43,"n.m.",(SUMPRODUCT($B$5:$G$5,(1+D$37)^(-DCF!$B$6:$G$6))-$B$5*Inputs!$B$20*(1+D$37)^(-DCF!$B$6)+IF(Inputs!$B$21=1,Forecast!$H$14*(1+$A43)*(1-$A43/Inputs!$B$22),$G$5*(1+$A43))/(D$37-$A43)/(1+D$37)^(6-Inputs!$B$19)-Inputs!$B$8-Inputs!$B$9)/Inputs!$B$7/Inputs!$B$6)</f>
        <v>86.027716108077655</v>
      </c>
      <c r="E43" s="43">
        <f>IF(E$37&lt;=$A43,"n.m.",(SUMPRODUCT($B$5:$G$5,(1+E$37)^(-DCF!$B$6:$G$6))-$B$5*Inputs!$B$20*(1+E$37)^(-DCF!$B$6)+IF(Inputs!$B$21=1,Forecast!$H$14*(1+$A43)*(1-$A43/Inputs!$B$22),$G$5*(1+$A43))/(E$37-$A43)/(1+E$37)^(6-Inputs!$B$19)-Inputs!$B$8-Inputs!$B$9)/Inputs!$B$7/Inputs!$B$6)</f>
        <v>78.80150111257305</v>
      </c>
      <c r="F43" s="43">
        <f>IF(F$37&lt;=$A43,"n.m.",(SUMPRODUCT($B$5:$G$5,(1+F$37)^(-DCF!$B$6:$G$6))-$B$5*Inputs!$B$20*(1+F$37)^(-DCF!$B$6)+IF(Inputs!$B$21=1,Forecast!$H$14*(1+$A43)*(1-$A43/Inputs!$B$22),$G$5*(1+$A43))/(F$37-$A43)/(1+F$37)^(6-Inputs!$B$19)-Inputs!$B$8-Inputs!$B$9)/Inputs!$B$7/Inputs!$B$6)</f>
        <v>72.722466826280993</v>
      </c>
      <c r="G43" s="43">
        <f>IF(G$37&lt;=$A43,"n.m.",(SUMPRODUCT($B$5:$G$5,(1+G$37)^(-DCF!$B$6:$G$6))-$B$5*Inputs!$B$20*(1+G$37)^(-DCF!$B$6)+IF(Inputs!$B$21=1,Forecast!$H$14*(1+$A43)*(1-$A43/Inputs!$B$22),$G$5*(1+$A43))/(G$37-$A43)/(1+G$37)^(6-Inputs!$B$19)-Inputs!$B$8-Inputs!$B$9)/Inputs!$B$7/Inputs!$B$6)</f>
        <v>67.537559113587832</v>
      </c>
      <c r="H43" s="43">
        <f>IF(H$37&lt;=$A43,"n.m.",(SUMPRODUCT($B$5:$G$5,(1+H$37)^(-DCF!$B$6:$G$6))-$B$5*Inputs!$B$20*(1+H$37)^(-DCF!$B$6)+IF(Inputs!$B$21=1,Forecast!$H$14*(1+$A43)*(1-$A43/Inputs!$B$22),$G$5*(1+$A43))/(H$37-$A43)/(1+H$37)^(6-Inputs!$B$19)-Inputs!$B$8-Inputs!$B$9)/Inputs!$B$7/Inputs!$B$6)</f>
        <v>63.063053647385914</v>
      </c>
    </row>
    <row r="44" spans="1:8" x14ac:dyDescent="0.35">
      <c r="A44" s="42">
        <f>Inputs!$B$11+(3)*0.0025</f>
        <v>2.75E-2</v>
      </c>
      <c r="B44" s="43">
        <f>IF(B$37&lt;=$A44,"n.m.",(SUMPRODUCT($B$5:$G$5,(1+B$37)^(-DCF!$B$6:$G$6))-$B$5*Inputs!$B$20*(1+B$37)^(-DCF!$B$6)+IF(Inputs!$B$21=1,Forecast!$H$14*(1+$A44)*(1-$A44/Inputs!$B$22),$G$5*(1+$A44))/(B$37-$A44)/(1+B$37)^(6-Inputs!$B$19)-Inputs!$B$8-Inputs!$B$9)/Inputs!$B$7/Inputs!$B$6)</f>
        <v>110.87398290649371</v>
      </c>
      <c r="C44" s="43">
        <f>IF(C$37&lt;=$A44,"n.m.",(SUMPRODUCT($B$5:$G$5,(1+C$37)^(-DCF!$B$6:$G$6))-$B$5*Inputs!$B$20*(1+C$37)^(-DCF!$B$6)+IF(Inputs!$B$21=1,Forecast!$H$14*(1+$A44)*(1-$A44/Inputs!$B$22),$G$5*(1+$A44))/(C$37-$A44)/(1+C$37)^(6-Inputs!$B$19)-Inputs!$B$8-Inputs!$B$9)/Inputs!$B$7/Inputs!$B$6)</f>
        <v>98.942605074634557</v>
      </c>
      <c r="D44" s="43">
        <f>IF(D$37&lt;=$A44,"n.m.",(SUMPRODUCT($B$5:$G$5,(1+D$37)^(-DCF!$B$6:$G$6))-$B$5*Inputs!$B$20*(1+D$37)^(-DCF!$B$6)+IF(Inputs!$B$21=1,Forecast!$H$14*(1+$A44)*(1-$A44/Inputs!$B$22),$G$5*(1+$A44))/(D$37-$A44)/(1+D$37)^(6-Inputs!$B$19)-Inputs!$B$8-Inputs!$B$9)/Inputs!$B$7/Inputs!$B$6)</f>
        <v>89.37388967165883</v>
      </c>
      <c r="E44" s="43">
        <f>IF(E$37&lt;=$A44,"n.m.",(SUMPRODUCT($B$5:$G$5,(1+E$37)^(-DCF!$B$6:$G$6))-$B$5*Inputs!$B$20*(1+E$37)^(-DCF!$B$6)+IF(Inputs!$B$21=1,Forecast!$H$14*(1+$A44)*(1-$A44/Inputs!$B$22),$G$5*(1+$A44))/(E$37-$A44)/(1+E$37)^(6-Inputs!$B$19)-Inputs!$B$8-Inputs!$B$9)/Inputs!$B$7/Inputs!$B$6)</f>
        <v>81.52928433363158</v>
      </c>
      <c r="F44" s="43">
        <f>IF(F$37&lt;=$A44,"n.m.",(SUMPRODUCT($B$5:$G$5,(1+F$37)^(-DCF!$B$6:$G$6))-$B$5*Inputs!$B$20*(1+F$37)^(-DCF!$B$6)+IF(Inputs!$B$21=1,Forecast!$H$14*(1+$A44)*(1-$A44/Inputs!$B$22),$G$5*(1+$A44))/(F$37-$A44)/(1+F$37)^(6-Inputs!$B$19)-Inputs!$B$8-Inputs!$B$9)/Inputs!$B$7/Inputs!$B$6)</f>
        <v>74.981328145865319</v>
      </c>
      <c r="G44" s="43">
        <f>IF(G$37&lt;=$A44,"n.m.",(SUMPRODUCT($B$5:$G$5,(1+G$37)^(-DCF!$B$6:$G$6))-$B$5*Inputs!$B$20*(1+G$37)^(-DCF!$B$6)+IF(Inputs!$B$21=1,Forecast!$H$14*(1+$A44)*(1-$A44/Inputs!$B$22),$G$5*(1+$A44))/(G$37-$A44)/(1+G$37)^(6-Inputs!$B$19)-Inputs!$B$8-Inputs!$B$9)/Inputs!$B$7/Inputs!$B$6)</f>
        <v>69.433082397491575</v>
      </c>
      <c r="H44" s="43">
        <f>IF(H$37&lt;=$A44,"n.m.",(SUMPRODUCT($B$5:$G$5,(1+H$37)^(-DCF!$B$6:$G$6))-$B$5*Inputs!$B$20*(1+H$37)^(-DCF!$B$6)+IF(Inputs!$B$21=1,Forecast!$H$14*(1+$A44)*(1-$A44/Inputs!$B$22),$G$5*(1+$A44))/(H$37-$A44)/(1+H$37)^(6-Inputs!$B$19)-Inputs!$B$8-Inputs!$B$9)/Inputs!$B$7/Inputs!$B$6)</f>
        <v>64.671846120893065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5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0" customWidth="1"/>
    <col min="2" max="10" width="13" customWidth="1"/>
  </cols>
  <sheetData>
    <row r="1" spans="1:10" ht="18" x14ac:dyDescent="0.4">
      <c r="A1" s="1" t="s">
        <v>155</v>
      </c>
    </row>
    <row r="2" spans="1:10" x14ac:dyDescent="0.35">
      <c r="A2" s="2" t="s">
        <v>156</v>
      </c>
    </row>
    <row r="4" spans="1:10" x14ac:dyDescent="0.35">
      <c r="A4" s="13" t="s">
        <v>157</v>
      </c>
      <c r="B4" s="14" t="s">
        <v>158</v>
      </c>
      <c r="C4" s="14" t="s">
        <v>159</v>
      </c>
      <c r="D4" s="14" t="s">
        <v>160</v>
      </c>
      <c r="E4" s="14" t="s">
        <v>161</v>
      </c>
      <c r="F4" s="14" t="s">
        <v>162</v>
      </c>
      <c r="G4" s="14" t="s">
        <v>10</v>
      </c>
      <c r="H4" s="14" t="s">
        <v>11</v>
      </c>
      <c r="I4" s="14" t="s">
        <v>163</v>
      </c>
      <c r="J4" s="14" t="s">
        <v>164</v>
      </c>
    </row>
    <row r="5" spans="1:10" x14ac:dyDescent="0.35">
      <c r="A5" s="3" t="s">
        <v>165</v>
      </c>
      <c r="B5" s="19">
        <v>0.25</v>
      </c>
      <c r="C5" s="19">
        <v>-0.02</v>
      </c>
      <c r="D5" s="19">
        <v>-1.4999999999999999E-2</v>
      </c>
      <c r="E5" s="21">
        <v>5.0000000000000001E-3</v>
      </c>
      <c r="F5" s="21">
        <v>-2.5000000000000001E-3</v>
      </c>
      <c r="G5" s="34">
        <f>WACC!$B$17+E5</f>
        <v>8.8000000000000009E-2</v>
      </c>
      <c r="H5" s="34">
        <f>Inputs!$B$11+F5</f>
        <v>1.7500000000000002E-2</v>
      </c>
      <c r="I5" s="45">
        <f>B25</f>
        <v>52.933293962086459</v>
      </c>
      <c r="J5" s="35">
        <f>I5/Inputs!$B$5-1</f>
        <v>0.11673615953768901</v>
      </c>
    </row>
    <row r="6" spans="1:10" x14ac:dyDescent="0.35">
      <c r="A6" s="3" t="s">
        <v>166</v>
      </c>
      <c r="B6" s="19">
        <v>0.5</v>
      </c>
      <c r="C6" s="19">
        <v>0</v>
      </c>
      <c r="D6" s="19">
        <v>0</v>
      </c>
      <c r="E6" s="21">
        <v>0</v>
      </c>
      <c r="F6" s="21">
        <v>0</v>
      </c>
      <c r="G6" s="34">
        <f>WACC!$B$17+E6</f>
        <v>8.3000000000000004E-2</v>
      </c>
      <c r="H6" s="34">
        <f>Inputs!$B$11+F6</f>
        <v>0.02</v>
      </c>
      <c r="I6" s="45">
        <f>B40</f>
        <v>73.995406865946137</v>
      </c>
      <c r="J6" s="35">
        <f>I6/Inputs!$B$5-1</f>
        <v>0.56108453303683836</v>
      </c>
    </row>
    <row r="7" spans="1:10" x14ac:dyDescent="0.35">
      <c r="A7" s="3" t="s">
        <v>167</v>
      </c>
      <c r="B7" s="19">
        <v>0.25</v>
      </c>
      <c r="C7" s="19">
        <v>0.02</v>
      </c>
      <c r="D7" s="19">
        <v>1.4999999999999999E-2</v>
      </c>
      <c r="E7" s="21">
        <v>-5.0000000000000001E-3</v>
      </c>
      <c r="F7" s="21">
        <v>2.5000000000000001E-3</v>
      </c>
      <c r="G7" s="34">
        <f>WACC!$B$17+E7</f>
        <v>7.8E-2</v>
      </c>
      <c r="H7" s="34">
        <f>Inputs!$B$11+F7</f>
        <v>2.2499999999999999E-2</v>
      </c>
      <c r="I7" s="45">
        <f>B55</f>
        <v>103.48644994289751</v>
      </c>
      <c r="J7" s="35">
        <f>I7/Inputs!$B$5-1</f>
        <v>1.1832584376138717</v>
      </c>
    </row>
    <row r="8" spans="1:10" x14ac:dyDescent="0.35">
      <c r="A8" s="3" t="s">
        <v>168</v>
      </c>
      <c r="B8" s="40">
        <f>SUM(B5:B7)</f>
        <v>1</v>
      </c>
      <c r="I8" s="39">
        <f>IFERROR(SUMPRODUCT(B5:B7,I5:I7)/B8,"")</f>
        <v>76.102639409219051</v>
      </c>
      <c r="J8" s="40">
        <f>IFERROR(I8/Inputs!$B$5-1,"")</f>
        <v>0.6055409158063092</v>
      </c>
    </row>
    <row r="12" spans="1:10" x14ac:dyDescent="0.35">
      <c r="A12" s="9" t="s">
        <v>169</v>
      </c>
      <c r="B12" s="46" t="str">
        <f>Forecast!B4</f>
        <v>2025A</v>
      </c>
      <c r="C12" s="14" t="s">
        <v>69</v>
      </c>
      <c r="D12" s="14" t="s">
        <v>70</v>
      </c>
      <c r="E12" s="14" t="s">
        <v>71</v>
      </c>
      <c r="F12" s="14" t="s">
        <v>72</v>
      </c>
      <c r="G12" s="14" t="s">
        <v>73</v>
      </c>
      <c r="H12" s="14" t="s">
        <v>74</v>
      </c>
    </row>
    <row r="13" spans="1:10" x14ac:dyDescent="0.35">
      <c r="A13" s="26" t="s">
        <v>75</v>
      </c>
      <c r="C13" s="27">
        <f>Inputs!B33+$C$5</f>
        <v>-5.3000000000000009E-3</v>
      </c>
      <c r="D13" s="27">
        <f>Inputs!C33+$C$5</f>
        <v>5.7599999999999998E-2</v>
      </c>
      <c r="E13" s="27">
        <f>Inputs!D33+$C$5</f>
        <v>4.3200000000000002E-2</v>
      </c>
      <c r="F13" s="27">
        <f>Inputs!E33+$C$5</f>
        <v>2.8800000000000003E-2</v>
      </c>
      <c r="G13" s="27">
        <f>Inputs!F33+$C$5</f>
        <v>1.44E-2</v>
      </c>
      <c r="H13" s="27">
        <f>Inputs!G33+$C$5</f>
        <v>0</v>
      </c>
    </row>
    <row r="14" spans="1:10" x14ac:dyDescent="0.35">
      <c r="A14" s="3" t="s">
        <v>89</v>
      </c>
      <c r="B14" s="32">
        <f>Forecast!B6</f>
        <v>3912.3429999999998</v>
      </c>
      <c r="C14" s="28">
        <f t="shared" ref="C14:H14" si="0">B14*(1+C13)</f>
        <v>3891.6075820999999</v>
      </c>
      <c r="D14" s="28">
        <f t="shared" si="0"/>
        <v>4115.7641788289602</v>
      </c>
      <c r="E14" s="28">
        <f t="shared" si="0"/>
        <v>4293.5651913543707</v>
      </c>
      <c r="F14" s="28">
        <f t="shared" si="0"/>
        <v>4417.2198688653762</v>
      </c>
      <c r="G14" s="28">
        <f t="shared" si="0"/>
        <v>4480.8278349770371</v>
      </c>
      <c r="H14" s="28">
        <f t="shared" si="0"/>
        <v>4480.8278349770371</v>
      </c>
    </row>
    <row r="15" spans="1:10" x14ac:dyDescent="0.35">
      <c r="A15" s="26" t="s">
        <v>76</v>
      </c>
      <c r="C15" s="27">
        <f>Inputs!B34+$D$5</f>
        <v>0.11956663034551269</v>
      </c>
      <c r="D15" s="27">
        <f>Inputs!C34+$D$5</f>
        <v>0.11994101642716619</v>
      </c>
      <c r="E15" s="27">
        <f>Inputs!D34+$D$5</f>
        <v>0.12031540250881971</v>
      </c>
      <c r="F15" s="27">
        <f>Inputs!E34+$D$5</f>
        <v>0.1206897885904732</v>
      </c>
      <c r="G15" s="27">
        <f>Inputs!F34+$D$5</f>
        <v>0.12106417467212659</v>
      </c>
      <c r="H15" s="27">
        <f>Inputs!G34+$D$5</f>
        <v>0.12143856075378011</v>
      </c>
    </row>
    <row r="16" spans="1:10" x14ac:dyDescent="0.35">
      <c r="A16" s="3" t="s">
        <v>93</v>
      </c>
      <c r="C16" s="28">
        <f t="shared" ref="C16:H16" si="1">C14*C15</f>
        <v>465.30640521874511</v>
      </c>
      <c r="D16" s="28">
        <f t="shared" si="1"/>
        <v>493.64893898326648</v>
      </c>
      <c r="E16" s="28">
        <f t="shared" si="1"/>
        <v>516.58202419565862</v>
      </c>
      <c r="F16" s="28">
        <f t="shared" si="1"/>
        <v>533.11333213099999</v>
      </c>
      <c r="G16" s="28">
        <f t="shared" si="1"/>
        <v>542.46772368938684</v>
      </c>
      <c r="H16" s="28">
        <f t="shared" si="1"/>
        <v>544.14528326508787</v>
      </c>
    </row>
    <row r="17" spans="1:8" x14ac:dyDescent="0.35">
      <c r="A17" s="11" t="s">
        <v>96</v>
      </c>
      <c r="C17" s="29">
        <f>C14*Inputs!B35</f>
        <v>50.521415002740362</v>
      </c>
      <c r="D17" s="29">
        <f>D14*Inputs!C35</f>
        <v>53.431448506898214</v>
      </c>
      <c r="E17" s="29">
        <f>E14*Inputs!D35</f>
        <v>55.739687082396202</v>
      </c>
      <c r="F17" s="29">
        <f>F14*Inputs!E35</f>
        <v>57.344990070369214</v>
      </c>
      <c r="G17" s="29">
        <f>G14*Inputs!F35</f>
        <v>58.170757927382525</v>
      </c>
      <c r="H17" s="29">
        <f>H14*Inputs!G35</f>
        <v>58.170757927382525</v>
      </c>
    </row>
    <row r="18" spans="1:8" x14ac:dyDescent="0.35">
      <c r="A18" s="11" t="s">
        <v>97</v>
      </c>
      <c r="C18" s="29">
        <f t="shared" ref="C18:H18" si="2">C16-C17</f>
        <v>414.78499021600476</v>
      </c>
      <c r="D18" s="29">
        <f t="shared" si="2"/>
        <v>440.21749047636825</v>
      </c>
      <c r="E18" s="29">
        <f t="shared" si="2"/>
        <v>460.84233711326243</v>
      </c>
      <c r="F18" s="29">
        <f t="shared" si="2"/>
        <v>475.7683420606308</v>
      </c>
      <c r="G18" s="29">
        <f t="shared" si="2"/>
        <v>484.29696576200433</v>
      </c>
      <c r="H18" s="29">
        <f t="shared" si="2"/>
        <v>485.97452533770536</v>
      </c>
    </row>
    <row r="19" spans="1:8" x14ac:dyDescent="0.35">
      <c r="A19" s="11" t="s">
        <v>116</v>
      </c>
      <c r="C19" s="29">
        <f>-MAX(C18,0)*Inputs!$B$10</f>
        <v>-91.252697847521048</v>
      </c>
      <c r="D19" s="29">
        <f>-MAX(D18,0)*Inputs!$B$10</f>
        <v>-96.847847904801014</v>
      </c>
      <c r="E19" s="29">
        <f>-MAX(E18,0)*Inputs!$B$10</f>
        <v>-101.38531416491773</v>
      </c>
      <c r="F19" s="29">
        <f>-MAX(F18,0)*Inputs!$B$10</f>
        <v>-104.66903525333878</v>
      </c>
      <c r="G19" s="29">
        <f>-MAX(G18,0)*Inputs!$B$10</f>
        <v>-106.54533246764096</v>
      </c>
      <c r="H19" s="29">
        <f>-MAX(H18,0)*Inputs!$B$10</f>
        <v>-106.91439557429518</v>
      </c>
    </row>
    <row r="20" spans="1:8" x14ac:dyDescent="0.35">
      <c r="A20" s="11" t="s">
        <v>100</v>
      </c>
      <c r="C20" s="29">
        <f t="shared" ref="C20:H20" si="3">C18+C19</f>
        <v>323.5322923684837</v>
      </c>
      <c r="D20" s="29">
        <f t="shared" si="3"/>
        <v>343.36964257156723</v>
      </c>
      <c r="E20" s="29">
        <f t="shared" si="3"/>
        <v>359.45702294834473</v>
      </c>
      <c r="F20" s="29">
        <f t="shared" si="3"/>
        <v>371.09930680729201</v>
      </c>
      <c r="G20" s="29">
        <f t="shared" si="3"/>
        <v>377.75163329436339</v>
      </c>
      <c r="H20" s="29">
        <f t="shared" si="3"/>
        <v>379.06012976341015</v>
      </c>
    </row>
    <row r="21" spans="1:8" x14ac:dyDescent="0.35">
      <c r="A21" s="11" t="s">
        <v>101</v>
      </c>
      <c r="C21" s="29">
        <f>-C14*Inputs!B36</f>
        <v>-39.779148204782338</v>
      </c>
      <c r="D21" s="29">
        <f>-D14*Inputs!C36</f>
        <v>-42.070427141377806</v>
      </c>
      <c r="E21" s="29">
        <f>-E14*Inputs!D36</f>
        <v>-43.88786959388532</v>
      </c>
      <c r="F21" s="29">
        <f>-F14*Inputs!E36</f>
        <v>-45.151840238189216</v>
      </c>
      <c r="G21" s="29">
        <f>-G14*Inputs!F36</f>
        <v>-45.802026737619137</v>
      </c>
      <c r="H21" s="29">
        <f>-H14*Inputs!G36</f>
        <v>-45.802026737619137</v>
      </c>
    </row>
    <row r="22" spans="1:8" x14ac:dyDescent="0.35">
      <c r="A22" s="11" t="s">
        <v>102</v>
      </c>
      <c r="C22" s="29">
        <f>-Inputs!B37*(C14-B14)</f>
        <v>-1.4442000234374965</v>
      </c>
      <c r="D22" s="29">
        <f>-Inputs!C37*(D14-C14)</f>
        <v>15.612270937140622</v>
      </c>
      <c r="E22" s="29">
        <f>-Inputs!D37*(E14-D14)</f>
        <v>12.383653307339882</v>
      </c>
      <c r="F22" s="29">
        <f>-Inputs!E37*(F14-E14)</f>
        <v>8.6124180868113136</v>
      </c>
      <c r="G22" s="29">
        <f>-Inputs!F37*(G14-F14)</f>
        <v>4.4302278638557215</v>
      </c>
      <c r="H22" s="29">
        <f>-Inputs!G37*(H14-G14)</f>
        <v>0</v>
      </c>
    </row>
    <row r="23" spans="1:8" x14ac:dyDescent="0.35">
      <c r="A23" s="3" t="s">
        <v>103</v>
      </c>
      <c r="C23" s="28">
        <f t="shared" ref="C23:H23" si="4">C20+C17+C21+C22</f>
        <v>332.83035914300422</v>
      </c>
      <c r="D23" s="28">
        <f t="shared" si="4"/>
        <v>370.34293487422826</v>
      </c>
      <c r="E23" s="28">
        <f t="shared" si="4"/>
        <v>383.69249374419547</v>
      </c>
      <c r="F23" s="28">
        <f t="shared" si="4"/>
        <v>391.90487472628331</v>
      </c>
      <c r="G23" s="28">
        <f t="shared" si="4"/>
        <v>394.5505923479825</v>
      </c>
      <c r="H23" s="28">
        <f t="shared" si="4"/>
        <v>391.42886095317351</v>
      </c>
    </row>
    <row r="24" spans="1:8" x14ac:dyDescent="0.35">
      <c r="A24" s="11" t="s">
        <v>141</v>
      </c>
      <c r="B24" s="29">
        <f>SUMPRODUCT($C$23:$H$23,(1+$G$5)^(-DCF!$B$6:$G$6))-$C$23*Inputs!$B$20*(1+$G$5)^(-DCF!$B$6)+IF(Inputs!$B$21=1,$H$20*(1+$H$5)*(1-$H$5/Inputs!$B$22),$H$23*(1+$H$5))/($G$5-$H$5)/(1+$G$5)^(6-Inputs!$B$19)</f>
        <v>5258.6805223723422</v>
      </c>
    </row>
    <row r="25" spans="1:8" x14ac:dyDescent="0.35">
      <c r="A25" s="3" t="s">
        <v>163</v>
      </c>
      <c r="B25" s="45">
        <f>(B24-Inputs!$B$8-Inputs!$B$9)/Inputs!$B$7/Inputs!$B$6</f>
        <v>52.933293962086459</v>
      </c>
    </row>
    <row r="27" spans="1:8" x14ac:dyDescent="0.35">
      <c r="A27" s="9" t="s">
        <v>170</v>
      </c>
      <c r="B27" s="46" t="str">
        <f>Forecast!B4</f>
        <v>2025A</v>
      </c>
      <c r="C27" s="14" t="s">
        <v>69</v>
      </c>
      <c r="D27" s="14" t="s">
        <v>70</v>
      </c>
      <c r="E27" s="14" t="s">
        <v>71</v>
      </c>
      <c r="F27" s="14" t="s">
        <v>72</v>
      </c>
      <c r="G27" s="14" t="s">
        <v>73</v>
      </c>
      <c r="H27" s="14" t="s">
        <v>74</v>
      </c>
    </row>
    <row r="28" spans="1:8" x14ac:dyDescent="0.35">
      <c r="A28" s="26" t="s">
        <v>75</v>
      </c>
      <c r="C28" s="27">
        <f>Inputs!B33+$C$6</f>
        <v>1.47E-2</v>
      </c>
      <c r="D28" s="27">
        <f>Inputs!C33+$C$6</f>
        <v>7.7600000000000002E-2</v>
      </c>
      <c r="E28" s="27">
        <f>Inputs!D33+$C$6</f>
        <v>6.3200000000000006E-2</v>
      </c>
      <c r="F28" s="27">
        <f>Inputs!E33+$C$6</f>
        <v>4.8800000000000003E-2</v>
      </c>
      <c r="G28" s="27">
        <f>Inputs!F33+$C$6</f>
        <v>3.44E-2</v>
      </c>
      <c r="H28" s="27">
        <f>Inputs!G33+$C$6</f>
        <v>0.02</v>
      </c>
    </row>
    <row r="29" spans="1:8" x14ac:dyDescent="0.35">
      <c r="A29" s="3" t="s">
        <v>89</v>
      </c>
      <c r="B29" s="32">
        <f>Forecast!B6</f>
        <v>3912.3429999999998</v>
      </c>
      <c r="C29" s="28">
        <f t="shared" ref="C29:H29" si="5">B29*(1+C28)</f>
        <v>3969.8544420999997</v>
      </c>
      <c r="D29" s="28">
        <f t="shared" si="5"/>
        <v>4277.9151468069595</v>
      </c>
      <c r="E29" s="28">
        <f t="shared" si="5"/>
        <v>4548.2793840851591</v>
      </c>
      <c r="F29" s="28">
        <f t="shared" si="5"/>
        <v>4770.2354180285147</v>
      </c>
      <c r="G29" s="28">
        <f t="shared" si="5"/>
        <v>4934.3315164086953</v>
      </c>
      <c r="H29" s="28">
        <f t="shared" si="5"/>
        <v>5033.0181467368693</v>
      </c>
    </row>
    <row r="30" spans="1:8" x14ac:dyDescent="0.35">
      <c r="A30" s="26" t="s">
        <v>76</v>
      </c>
      <c r="C30" s="27">
        <f>Inputs!B34+$D$6</f>
        <v>0.13456663034551269</v>
      </c>
      <c r="D30" s="27">
        <f>Inputs!C34+$D$6</f>
        <v>0.13494101642716619</v>
      </c>
      <c r="E30" s="27">
        <f>Inputs!D34+$D$6</f>
        <v>0.13531540250881971</v>
      </c>
      <c r="F30" s="27">
        <f>Inputs!E34+$D$6</f>
        <v>0.1356897885904732</v>
      </c>
      <c r="G30" s="27">
        <f>Inputs!F34+$D$6</f>
        <v>0.13606417467212659</v>
      </c>
      <c r="H30" s="27">
        <f>Inputs!G34+$D$6</f>
        <v>0.13643856075378011</v>
      </c>
    </row>
    <row r="31" spans="1:8" x14ac:dyDescent="0.35">
      <c r="A31" s="3" t="s">
        <v>93</v>
      </c>
      <c r="C31" s="28">
        <f t="shared" ref="C31:H31" si="6">C29*C30</f>
        <v>534.20993523556217</v>
      </c>
      <c r="D31" s="28">
        <f t="shared" si="6"/>
        <v>577.266218099301</v>
      </c>
      <c r="E31" s="28">
        <f t="shared" si="6"/>
        <v>615.45225558004995</v>
      </c>
      <c r="F31" s="28">
        <f t="shared" si="6"/>
        <v>647.27223539907675</v>
      </c>
      <c r="G31" s="28">
        <f t="shared" si="6"/>
        <v>671.38574533881194</v>
      </c>
      <c r="H31" s="28">
        <f t="shared" si="6"/>
        <v>686.69775218843608</v>
      </c>
    </row>
    <row r="32" spans="1:8" x14ac:dyDescent="0.35">
      <c r="A32" s="11" t="s">
        <v>96</v>
      </c>
      <c r="C32" s="29">
        <f>C29*Inputs!B35</f>
        <v>51.537227106947462</v>
      </c>
      <c r="D32" s="29">
        <f>D29*Inputs!C35</f>
        <v>55.536515930446583</v>
      </c>
      <c r="E32" s="29">
        <f>E29*Inputs!D35</f>
        <v>59.046423737250805</v>
      </c>
      <c r="F32" s="29">
        <f>F29*Inputs!E35</f>
        <v>61.927889215628646</v>
      </c>
      <c r="G32" s="29">
        <f>G29*Inputs!F35</f>
        <v>64.058208604646268</v>
      </c>
      <c r="H32" s="29">
        <f>H29*Inputs!G35</f>
        <v>65.339372776739197</v>
      </c>
    </row>
    <row r="33" spans="1:8" x14ac:dyDescent="0.35">
      <c r="A33" s="11" t="s">
        <v>97</v>
      </c>
      <c r="C33" s="29">
        <f t="shared" ref="C33:H33" si="7">C31-C32</f>
        <v>482.67270812861472</v>
      </c>
      <c r="D33" s="29">
        <f t="shared" si="7"/>
        <v>521.72970216885437</v>
      </c>
      <c r="E33" s="29">
        <f t="shared" si="7"/>
        <v>556.4058318427991</v>
      </c>
      <c r="F33" s="29">
        <f t="shared" si="7"/>
        <v>585.34434618344812</v>
      </c>
      <c r="G33" s="29">
        <f t="shared" si="7"/>
        <v>607.32753673416573</v>
      </c>
      <c r="H33" s="29">
        <f t="shared" si="7"/>
        <v>621.35837941169689</v>
      </c>
    </row>
    <row r="34" spans="1:8" x14ac:dyDescent="0.35">
      <c r="A34" s="11" t="s">
        <v>116</v>
      </c>
      <c r="C34" s="29">
        <f>-MAX(C33,0)*Inputs!$B$10</f>
        <v>-106.18799578829524</v>
      </c>
      <c r="D34" s="29">
        <f>-MAX(D33,0)*Inputs!$B$10</f>
        <v>-114.78053447714797</v>
      </c>
      <c r="E34" s="29">
        <f>-MAX(E33,0)*Inputs!$B$10</f>
        <v>-122.4092830054158</v>
      </c>
      <c r="F34" s="29">
        <f>-MAX(F33,0)*Inputs!$B$10</f>
        <v>-128.77575616035858</v>
      </c>
      <c r="G34" s="29">
        <f>-MAX(G33,0)*Inputs!$B$10</f>
        <v>-133.61205808151647</v>
      </c>
      <c r="H34" s="29">
        <f>-MAX(H33,0)*Inputs!$B$10</f>
        <v>-136.69884347057331</v>
      </c>
    </row>
    <row r="35" spans="1:8" x14ac:dyDescent="0.35">
      <c r="A35" s="11" t="s">
        <v>100</v>
      </c>
      <c r="C35" s="29">
        <f t="shared" ref="C35:H35" si="8">C33+C34</f>
        <v>376.48471234031945</v>
      </c>
      <c r="D35" s="29">
        <f t="shared" si="8"/>
        <v>406.94916769170641</v>
      </c>
      <c r="E35" s="29">
        <f t="shared" si="8"/>
        <v>433.99654883738333</v>
      </c>
      <c r="F35" s="29">
        <f t="shared" si="8"/>
        <v>456.56859002308954</v>
      </c>
      <c r="G35" s="29">
        <f t="shared" si="8"/>
        <v>473.71547865264927</v>
      </c>
      <c r="H35" s="29">
        <f t="shared" si="8"/>
        <v>484.65953594112358</v>
      </c>
    </row>
    <row r="36" spans="1:8" x14ac:dyDescent="0.35">
      <c r="A36" s="11" t="s">
        <v>101</v>
      </c>
      <c r="C36" s="29">
        <f>-C29*Inputs!B36</f>
        <v>-40.578970225588257</v>
      </c>
      <c r="D36" s="29">
        <f>-D29*Inputs!C36</f>
        <v>-43.727898315093903</v>
      </c>
      <c r="E36" s="29">
        <f>-E29*Inputs!D36</f>
        <v>-46.491501488607838</v>
      </c>
      <c r="F36" s="29">
        <f>-F29*Inputs!E36</f>
        <v>-48.760286761251898</v>
      </c>
      <c r="G36" s="29">
        <f>-G29*Inputs!F36</f>
        <v>-50.437640625838959</v>
      </c>
      <c r="H36" s="29">
        <f>-H29*Inputs!G36</f>
        <v>-51.446393438355734</v>
      </c>
    </row>
    <row r="37" spans="1:8" x14ac:dyDescent="0.35">
      <c r="A37" s="11" t="s">
        <v>102</v>
      </c>
      <c r="C37" s="29">
        <f>-Inputs!B37*(C29-B29)</f>
        <v>4.005611385760611</v>
      </c>
      <c r="D37" s="29">
        <f>-Inputs!C37*(D29-C29)</f>
        <v>21.456103711223736</v>
      </c>
      <c r="E37" s="29">
        <f>-Inputs!D37*(E29-D29)</f>
        <v>18.830584447195474</v>
      </c>
      <c r="F37" s="29">
        <f>-Inputs!E37*(F29-E29)</f>
        <v>15.459004056199388</v>
      </c>
      <c r="G37" s="29">
        <f>-Inputs!F37*(G29-F29)</f>
        <v>11.429120467673799</v>
      </c>
      <c r="H37" s="29">
        <f>-Inputs!G37*(H29-G29)</f>
        <v>6.8734198905591946</v>
      </c>
    </row>
    <row r="38" spans="1:8" x14ac:dyDescent="0.35">
      <c r="A38" s="3" t="s">
        <v>103</v>
      </c>
      <c r="C38" s="28">
        <f t="shared" ref="C38:H38" si="9">C35+C32+C36+C37</f>
        <v>391.44858060743928</v>
      </c>
      <c r="D38" s="28">
        <f t="shared" si="9"/>
        <v>440.21388901828283</v>
      </c>
      <c r="E38" s="28">
        <f t="shared" si="9"/>
        <v>465.38205553322172</v>
      </c>
      <c r="F38" s="28">
        <f t="shared" si="9"/>
        <v>485.19519653366564</v>
      </c>
      <c r="G38" s="28">
        <f t="shared" si="9"/>
        <v>498.76516709913028</v>
      </c>
      <c r="H38" s="28">
        <f t="shared" si="9"/>
        <v>505.42593517006628</v>
      </c>
    </row>
    <row r="39" spans="1:8" x14ac:dyDescent="0.35">
      <c r="A39" s="11" t="s">
        <v>141</v>
      </c>
      <c r="B39" s="29">
        <f>SUMPRODUCT($C$38:$H$38,(1+$G$6)^(-DCF!$B$6:$G$6))-$C$38*Inputs!$B$20*(1+$G$6)^(-DCF!$B$6)+IF(Inputs!$B$21=1,$H$35*(1+$H$6)*(1-$H$6/Inputs!$B$22),$H$38*(1+$H$6))/($G$6-$H$6)/(1+$G$6)^(6-Inputs!$B$19)</f>
        <v>7414.6626807800012</v>
      </c>
    </row>
    <row r="40" spans="1:8" x14ac:dyDescent="0.35">
      <c r="A40" s="3" t="s">
        <v>163</v>
      </c>
      <c r="B40" s="45">
        <f>(B39-Inputs!$B$8-Inputs!$B$9)/Inputs!$B$7/Inputs!$B$6</f>
        <v>73.995406865946137</v>
      </c>
    </row>
    <row r="42" spans="1:8" x14ac:dyDescent="0.35">
      <c r="A42" s="9" t="s">
        <v>171</v>
      </c>
      <c r="B42" s="46" t="str">
        <f>Forecast!B4</f>
        <v>2025A</v>
      </c>
      <c r="C42" s="14" t="s">
        <v>69</v>
      </c>
      <c r="D42" s="14" t="s">
        <v>70</v>
      </c>
      <c r="E42" s="14" t="s">
        <v>71</v>
      </c>
      <c r="F42" s="14" t="s">
        <v>72</v>
      </c>
      <c r="G42" s="14" t="s">
        <v>73</v>
      </c>
      <c r="H42" s="14" t="s">
        <v>74</v>
      </c>
    </row>
    <row r="43" spans="1:8" x14ac:dyDescent="0.35">
      <c r="A43" s="26" t="s">
        <v>75</v>
      </c>
      <c r="C43" s="27">
        <f>Inputs!B33+$C$7</f>
        <v>3.4700000000000002E-2</v>
      </c>
      <c r="D43" s="27">
        <f>Inputs!C33+$C$7</f>
        <v>9.7600000000000006E-2</v>
      </c>
      <c r="E43" s="27">
        <f>Inputs!D33+$C$7</f>
        <v>8.320000000000001E-2</v>
      </c>
      <c r="F43" s="27">
        <f>Inputs!E33+$C$7</f>
        <v>6.88E-2</v>
      </c>
      <c r="G43" s="27">
        <f>Inputs!F33+$C$7</f>
        <v>5.4400000000000004E-2</v>
      </c>
      <c r="H43" s="27">
        <f>Inputs!G33+$C$7</f>
        <v>0.04</v>
      </c>
    </row>
    <row r="44" spans="1:8" x14ac:dyDescent="0.35">
      <c r="A44" s="3" t="s">
        <v>89</v>
      </c>
      <c r="B44" s="32">
        <f>Forecast!B6</f>
        <v>3912.3429999999998</v>
      </c>
      <c r="C44" s="28">
        <f t="shared" ref="C44:H44" si="10">B44*(1+C43)</f>
        <v>4048.1013020999999</v>
      </c>
      <c r="D44" s="28">
        <f t="shared" si="10"/>
        <v>4443.1959891849592</v>
      </c>
      <c r="E44" s="28">
        <f t="shared" si="10"/>
        <v>4812.8698954851479</v>
      </c>
      <c r="F44" s="28">
        <f t="shared" si="10"/>
        <v>5143.9953442945261</v>
      </c>
      <c r="G44" s="28">
        <f t="shared" si="10"/>
        <v>5423.8286910241486</v>
      </c>
      <c r="H44" s="28">
        <f t="shared" si="10"/>
        <v>5640.7818386651152</v>
      </c>
    </row>
    <row r="45" spans="1:8" x14ac:dyDescent="0.35">
      <c r="A45" s="26" t="s">
        <v>76</v>
      </c>
      <c r="C45" s="27">
        <f>Inputs!B34+$D$7</f>
        <v>0.14956663034551271</v>
      </c>
      <c r="D45" s="27">
        <f>Inputs!C34+$D$7</f>
        <v>0.14994101642716617</v>
      </c>
      <c r="E45" s="27">
        <f>Inputs!D34+$D$7</f>
        <v>0.1503154025088197</v>
      </c>
      <c r="F45" s="27">
        <f>Inputs!E34+$D$7</f>
        <v>0.15068978859047322</v>
      </c>
      <c r="G45" s="27">
        <f>Inputs!F34+$D$7</f>
        <v>0.15106417467212657</v>
      </c>
      <c r="H45" s="27">
        <f>Inputs!G34+$D$7</f>
        <v>0.15143856075378009</v>
      </c>
    </row>
    <row r="46" spans="1:8" x14ac:dyDescent="0.35">
      <c r="A46" s="3" t="s">
        <v>93</v>
      </c>
      <c r="C46" s="28">
        <f t="shared" ref="C46:H46" si="11">C44*C45</f>
        <v>605.46087105237939</v>
      </c>
      <c r="D46" s="28">
        <f t="shared" si="11"/>
        <v>666.21732280350079</v>
      </c>
      <c r="E46" s="28">
        <f t="shared" si="11"/>
        <v>723.44847556243099</v>
      </c>
      <c r="F46" s="28">
        <f t="shared" si="11"/>
        <v>775.14757094212064</v>
      </c>
      <c r="G46" s="28">
        <f t="shared" si="11"/>
        <v>819.34620477256362</v>
      </c>
      <c r="H46" s="28">
        <f t="shared" si="11"/>
        <v>854.23188317350639</v>
      </c>
    </row>
    <row r="47" spans="1:8" x14ac:dyDescent="0.35">
      <c r="A47" s="11" t="s">
        <v>96</v>
      </c>
      <c r="C47" s="29">
        <f>C44*Inputs!B35</f>
        <v>52.553039211154569</v>
      </c>
      <c r="D47" s="29">
        <f>D44*Inputs!C35</f>
        <v>57.682215838163252</v>
      </c>
      <c r="E47" s="29">
        <f>E44*Inputs!D35</f>
        <v>62.481376195898434</v>
      </c>
      <c r="F47" s="29">
        <f>F44*Inputs!E35</f>
        <v>66.780094878176243</v>
      </c>
      <c r="G47" s="29">
        <f>G44*Inputs!F35</f>
        <v>70.412932039549034</v>
      </c>
      <c r="H47" s="29">
        <f>H44*Inputs!G35</f>
        <v>73.229449321131</v>
      </c>
    </row>
    <row r="48" spans="1:8" x14ac:dyDescent="0.35">
      <c r="A48" s="11" t="s">
        <v>97</v>
      </c>
      <c r="C48" s="29">
        <f t="shared" ref="C48:H48" si="12">C46-C47</f>
        <v>552.90783184122483</v>
      </c>
      <c r="D48" s="29">
        <f t="shared" si="12"/>
        <v>608.53510696533749</v>
      </c>
      <c r="E48" s="29">
        <f t="shared" si="12"/>
        <v>660.96709936653258</v>
      </c>
      <c r="F48" s="29">
        <f t="shared" si="12"/>
        <v>708.36747606394442</v>
      </c>
      <c r="G48" s="29">
        <f t="shared" si="12"/>
        <v>748.93327273301463</v>
      </c>
      <c r="H48" s="29">
        <f t="shared" si="12"/>
        <v>781.00243385237536</v>
      </c>
    </row>
    <row r="49" spans="1:8" x14ac:dyDescent="0.35">
      <c r="A49" s="11" t="s">
        <v>116</v>
      </c>
      <c r="C49" s="29">
        <f>-MAX(C48,0)*Inputs!$B$10</f>
        <v>-121.63972300506947</v>
      </c>
      <c r="D49" s="29">
        <f>-MAX(D48,0)*Inputs!$B$10</f>
        <v>-133.87772353237426</v>
      </c>
      <c r="E49" s="29">
        <f>-MAX(E48,0)*Inputs!$B$10</f>
        <v>-145.41276186063718</v>
      </c>
      <c r="F49" s="29">
        <f>-MAX(F48,0)*Inputs!$B$10</f>
        <v>-155.84084473406779</v>
      </c>
      <c r="G49" s="29">
        <f>-MAX(G48,0)*Inputs!$B$10</f>
        <v>-164.76532000126323</v>
      </c>
      <c r="H49" s="29">
        <f>-MAX(H48,0)*Inputs!$B$10</f>
        <v>-171.82053544752259</v>
      </c>
    </row>
    <row r="50" spans="1:8" x14ac:dyDescent="0.35">
      <c r="A50" s="11" t="s">
        <v>100</v>
      </c>
      <c r="C50" s="29">
        <f t="shared" ref="C50:H50" si="13">C48+C49</f>
        <v>431.26810883615536</v>
      </c>
      <c r="D50" s="29">
        <f t="shared" si="13"/>
        <v>474.65738343296323</v>
      </c>
      <c r="E50" s="29">
        <f t="shared" si="13"/>
        <v>515.55433750589543</v>
      </c>
      <c r="F50" s="29">
        <f t="shared" si="13"/>
        <v>552.52663132987664</v>
      </c>
      <c r="G50" s="29">
        <f t="shared" si="13"/>
        <v>584.16795273175137</v>
      </c>
      <c r="H50" s="29">
        <f t="shared" si="13"/>
        <v>609.18189840485275</v>
      </c>
    </row>
    <row r="51" spans="1:8" x14ac:dyDescent="0.35">
      <c r="A51" s="11" t="s">
        <v>101</v>
      </c>
      <c r="C51" s="29">
        <f>-C44*Inputs!B36</f>
        <v>-41.378792246394177</v>
      </c>
      <c r="D51" s="29">
        <f>-D44*Inputs!C36</f>
        <v>-45.417362369642241</v>
      </c>
      <c r="E51" s="29">
        <f>-E44*Inputs!D36</f>
        <v>-49.196086918796475</v>
      </c>
      <c r="F51" s="29">
        <f>-F44*Inputs!E36</f>
        <v>-52.580777698809676</v>
      </c>
      <c r="G51" s="29">
        <f>-G44*Inputs!F36</f>
        <v>-55.441172005624921</v>
      </c>
      <c r="H51" s="29">
        <f>-H44*Inputs!G36</f>
        <v>-57.658818885849925</v>
      </c>
    </row>
    <row r="52" spans="1:8" x14ac:dyDescent="0.35">
      <c r="A52" s="11" t="s">
        <v>102</v>
      </c>
      <c r="C52" s="29">
        <f>-Inputs!B37*(C44-B44)</f>
        <v>9.4554227949587517</v>
      </c>
      <c r="D52" s="29">
        <f>-Inputs!C37*(D44-C44)</f>
        <v>27.517928941674782</v>
      </c>
      <c r="E52" s="29">
        <f>-Inputs!D37*(E44-D44)</f>
        <v>25.747398326752119</v>
      </c>
      <c r="F52" s="29">
        <f>-Inputs!E37*(F44-E44)</f>
        <v>23.062538852002486</v>
      </c>
      <c r="G52" s="29">
        <f>-Inputs!F37*(G44-F44)</f>
        <v>19.490097950016033</v>
      </c>
      <c r="H52" s="29">
        <f>-Inputs!G37*(H44-G44)</f>
        <v>15.110558293012462</v>
      </c>
    </row>
    <row r="53" spans="1:8" x14ac:dyDescent="0.35">
      <c r="A53" s="3" t="s">
        <v>103</v>
      </c>
      <c r="C53" s="28">
        <f t="shared" ref="C53:H53" si="14">C50+C47+C51+C52</f>
        <v>451.89777859587446</v>
      </c>
      <c r="D53" s="28">
        <f t="shared" si="14"/>
        <v>514.44016584315909</v>
      </c>
      <c r="E53" s="28">
        <f t="shared" si="14"/>
        <v>554.58702510974945</v>
      </c>
      <c r="F53" s="28">
        <f t="shared" si="14"/>
        <v>589.78848736124564</v>
      </c>
      <c r="G53" s="28">
        <f t="shared" si="14"/>
        <v>618.62981071569141</v>
      </c>
      <c r="H53" s="28">
        <f t="shared" si="14"/>
        <v>639.86308713314634</v>
      </c>
    </row>
    <row r="54" spans="1:8" x14ac:dyDescent="0.35">
      <c r="A54" s="11" t="s">
        <v>141</v>
      </c>
      <c r="B54" s="29">
        <f>SUMPRODUCT($C$53:$H$53,(1+$G$7)^(-DCF!$B$6:$G$6))-$C$53*Inputs!$B$20*(1+$G$7)^(-DCF!$B$6)+IF(Inputs!$B$21=1,$H$50*(1+$H$7)*(1-$H$7/Inputs!$B$22),$H$53*(1+$H$7))/($G$7-$H$7)/(1+$G$7)^(6-Inputs!$B$19)</f>
        <v>10433.455856800214</v>
      </c>
    </row>
    <row r="55" spans="1:8" x14ac:dyDescent="0.35">
      <c r="A55" s="3" t="s">
        <v>163</v>
      </c>
      <c r="B55" s="45">
        <f>(B54-Inputs!$B$8-Inputs!$B$9)/Inputs!$B$7/Inputs!$B$6</f>
        <v>103.48644994289751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40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4" customWidth="1"/>
    <col min="2" max="2" width="12" customWidth="1"/>
    <col min="3" max="3" width="18" customWidth="1"/>
    <col min="4" max="5" width="14" customWidth="1"/>
    <col min="6" max="20" width="12" customWidth="1"/>
  </cols>
  <sheetData>
    <row r="1" spans="1:21" ht="18" x14ac:dyDescent="0.4">
      <c r="A1" s="1" t="s">
        <v>172</v>
      </c>
    </row>
    <row r="2" spans="1:21" x14ac:dyDescent="0.35">
      <c r="A2" s="2" t="s">
        <v>173</v>
      </c>
    </row>
    <row r="4" spans="1:21" x14ac:dyDescent="0.35">
      <c r="A4" s="13" t="s">
        <v>174</v>
      </c>
      <c r="B4" s="13" t="s">
        <v>175</v>
      </c>
      <c r="C4" s="13" t="s">
        <v>176</v>
      </c>
      <c r="D4" s="14" t="s">
        <v>177</v>
      </c>
      <c r="E4" s="14" t="s">
        <v>178</v>
      </c>
      <c r="F4" s="14" t="s">
        <v>179</v>
      </c>
      <c r="G4" s="14" t="s">
        <v>76</v>
      </c>
      <c r="H4" s="14" t="s">
        <v>180</v>
      </c>
      <c r="I4" s="14" t="s">
        <v>181</v>
      </c>
      <c r="J4" s="14" t="s">
        <v>182</v>
      </c>
      <c r="K4" s="14" t="s">
        <v>183</v>
      </c>
      <c r="L4" s="14" t="s">
        <v>184</v>
      </c>
      <c r="M4" s="14" t="s">
        <v>185</v>
      </c>
      <c r="N4" s="14" t="s">
        <v>186</v>
      </c>
      <c r="O4" s="14" t="s">
        <v>187</v>
      </c>
      <c r="P4" s="14" t="s">
        <v>188</v>
      </c>
      <c r="Q4" s="14" t="s">
        <v>189</v>
      </c>
      <c r="R4" s="14" t="s">
        <v>190</v>
      </c>
      <c r="S4" s="14" t="s">
        <v>191</v>
      </c>
      <c r="T4" s="14" t="s">
        <v>192</v>
      </c>
      <c r="U4" s="14" t="s">
        <v>193</v>
      </c>
    </row>
    <row r="5" spans="1:21" x14ac:dyDescent="0.35">
      <c r="A5" s="11" t="s">
        <v>194</v>
      </c>
      <c r="B5" s="11" t="s">
        <v>195</v>
      </c>
      <c r="C5" s="11" t="s">
        <v>196</v>
      </c>
      <c r="D5" s="18">
        <v>2423.17509200528</v>
      </c>
      <c r="E5" s="18">
        <v>2924.2344559307371</v>
      </c>
      <c r="F5" s="19">
        <v>-9.6288598796959501E-2</v>
      </c>
      <c r="G5" s="19">
        <v>8.6789313082291486E-2</v>
      </c>
      <c r="H5" s="47">
        <v>0.54439622939171328</v>
      </c>
      <c r="I5" s="47">
        <v>6.2726182528432988</v>
      </c>
      <c r="J5" s="47"/>
      <c r="K5" s="47"/>
      <c r="L5" s="47">
        <v>13.18452357388545</v>
      </c>
      <c r="M5" s="47">
        <v>0.51878364242310715</v>
      </c>
      <c r="N5" s="47">
        <v>5.9775060315457189</v>
      </c>
      <c r="O5" s="47">
        <v>14.79552016547999</v>
      </c>
      <c r="P5" s="47">
        <v>12.671499242033841</v>
      </c>
      <c r="Q5" s="19">
        <v>4.7581535303245381E-2</v>
      </c>
      <c r="R5" s="19">
        <v>0.16762191141521471</v>
      </c>
      <c r="S5" s="24">
        <v>0.78656325193823817</v>
      </c>
      <c r="T5" s="19">
        <v>0.120918609684653</v>
      </c>
      <c r="U5" s="19">
        <v>2.696871628910464E-2</v>
      </c>
    </row>
    <row r="6" spans="1:21" x14ac:dyDescent="0.35">
      <c r="A6" s="11" t="s">
        <v>197</v>
      </c>
      <c r="B6" s="11" t="s">
        <v>198</v>
      </c>
      <c r="C6" s="11" t="s">
        <v>196</v>
      </c>
      <c r="D6" s="18">
        <v>22273.99931079102</v>
      </c>
      <c r="E6" s="18">
        <v>25742.59536391449</v>
      </c>
      <c r="F6" s="19">
        <v>-1.447193402500668E-2</v>
      </c>
      <c r="G6" s="19">
        <v>0.18549722597226831</v>
      </c>
      <c r="H6" s="47">
        <v>1.325569780850945</v>
      </c>
      <c r="I6" s="47">
        <v>7.1460356018969096</v>
      </c>
      <c r="J6" s="47">
        <v>7.8935247953885739</v>
      </c>
      <c r="K6" s="47">
        <v>9.8730150000000005</v>
      </c>
      <c r="L6" s="47">
        <v>11.371885710510099</v>
      </c>
      <c r="M6" s="47">
        <v>1.355844972713381</v>
      </c>
      <c r="N6" s="47">
        <v>7.3092466240766241</v>
      </c>
      <c r="O6" s="47">
        <v>11.772870662460569</v>
      </c>
      <c r="P6" s="47">
        <v>11.229666540287781</v>
      </c>
      <c r="Q6" s="19">
        <v>6.3180840432657259E-3</v>
      </c>
      <c r="R6" s="19">
        <v>4.8372239747634049E-2</v>
      </c>
      <c r="S6" s="24">
        <v>2.3509115496489521</v>
      </c>
      <c r="T6" s="19">
        <v>8.7152926959923577E-2</v>
      </c>
      <c r="U6" s="19">
        <v>4.7159699892818867E-2</v>
      </c>
    </row>
    <row r="7" spans="1:21" x14ac:dyDescent="0.35">
      <c r="A7" s="11" t="s">
        <v>199</v>
      </c>
      <c r="B7" s="11" t="s">
        <v>200</v>
      </c>
      <c r="C7" s="11" t="s">
        <v>196</v>
      </c>
      <c r="D7" s="18">
        <v>20420.670457042968</v>
      </c>
      <c r="E7" s="18">
        <v>25026.702571071899</v>
      </c>
      <c r="F7" s="19">
        <v>0.2065712625752989</v>
      </c>
      <c r="G7" s="19">
        <v>9.8755532726564454E-2</v>
      </c>
      <c r="H7" s="47">
        <v>1.858554844368014</v>
      </c>
      <c r="I7" s="47">
        <v>18.819754124703099</v>
      </c>
      <c r="J7" s="47">
        <v>26.576875769314491</v>
      </c>
      <c r="K7" s="47">
        <v>34.895947</v>
      </c>
      <c r="L7" s="47">
        <v>14.550300473379769</v>
      </c>
      <c r="M7" s="47">
        <v>1.705353249890301</v>
      </c>
      <c r="N7" s="47">
        <v>17.268432489874812</v>
      </c>
      <c r="O7" s="47">
        <v>18.425237833617679</v>
      </c>
      <c r="P7" s="47">
        <v>13.49501370679986</v>
      </c>
      <c r="Q7" s="19">
        <v>7.9394535382392384E-2</v>
      </c>
      <c r="R7" s="19">
        <v>0.36533672613711959</v>
      </c>
      <c r="S7" s="24">
        <v>0.39827094930277263</v>
      </c>
      <c r="T7" s="19">
        <v>1.26085312889661E-2</v>
      </c>
      <c r="U7" s="19"/>
    </row>
    <row r="8" spans="1:21" x14ac:dyDescent="0.35">
      <c r="A8" s="11" t="s">
        <v>201</v>
      </c>
      <c r="B8" s="11" t="s">
        <v>202</v>
      </c>
      <c r="C8" s="11" t="s">
        <v>196</v>
      </c>
      <c r="D8" s="18">
        <v>19121.383424</v>
      </c>
      <c r="E8" s="18">
        <v>20385.383424</v>
      </c>
      <c r="F8" s="19">
        <v>8.0918503094453031E-2</v>
      </c>
      <c r="G8" s="19">
        <v>4.7867959455448042E-2</v>
      </c>
      <c r="H8" s="47">
        <v>0.51269795588642142</v>
      </c>
      <c r="I8" s="47">
        <v>10.710670806086959</v>
      </c>
      <c r="J8" s="47">
        <v>12.940358047160901</v>
      </c>
      <c r="K8" s="47">
        <v>16.673151000000001</v>
      </c>
      <c r="L8" s="47">
        <v>15.186763460925629</v>
      </c>
      <c r="M8" s="47">
        <v>0.48169418006588388</v>
      </c>
      <c r="N8" s="47">
        <v>10.062977105055189</v>
      </c>
      <c r="O8" s="47">
        <v>16.38623326959847</v>
      </c>
      <c r="P8" s="47">
        <v>14.78436307773522</v>
      </c>
      <c r="Q8" s="19">
        <v>3.4908327356433233E-2</v>
      </c>
      <c r="R8" s="19">
        <v>0.10834894837476081</v>
      </c>
      <c r="S8" s="24">
        <v>1.401653056049714</v>
      </c>
      <c r="T8" s="19">
        <v>1.8199519997240971E-2</v>
      </c>
      <c r="U8" s="19">
        <v>4.3757292882147032E-2</v>
      </c>
    </row>
    <row r="9" spans="1:21" x14ac:dyDescent="0.35">
      <c r="A9" s="11" t="s">
        <v>203</v>
      </c>
      <c r="B9" s="11" t="s">
        <v>204</v>
      </c>
      <c r="C9" s="11" t="s">
        <v>205</v>
      </c>
      <c r="D9" s="18">
        <v>33798.316674377442</v>
      </c>
      <c r="E9" s="18">
        <v>41167.594270851143</v>
      </c>
      <c r="F9" s="19">
        <v>-2.2296080875225052E-2</v>
      </c>
      <c r="G9" s="19">
        <v>8.8277576133144478E-2</v>
      </c>
      <c r="H9" s="47">
        <v>0.6730758583569405</v>
      </c>
      <c r="I9" s="47">
        <v>7.6245394112517904</v>
      </c>
      <c r="J9" s="47">
        <v>8.8471152820597556</v>
      </c>
      <c r="K9" s="47">
        <v>10.392535000000001</v>
      </c>
      <c r="L9" s="47">
        <v>8.2712229695430626</v>
      </c>
      <c r="M9" s="47">
        <v>0.63167461181612539</v>
      </c>
      <c r="N9" s="47">
        <v>7.1555500217111012</v>
      </c>
      <c r="O9" s="47">
        <v>8.9004156466551532</v>
      </c>
      <c r="P9" s="47">
        <v>8.0593768978834532</v>
      </c>
      <c r="Q9" s="19">
        <v>3.8130922375308351E-2</v>
      </c>
      <c r="R9" s="19">
        <v>0.104355306797052</v>
      </c>
      <c r="S9" s="24">
        <v>0.79260204616414631</v>
      </c>
      <c r="T9" s="19">
        <v>0.11749317128535031</v>
      </c>
      <c r="U9" s="19">
        <v>3.2817337461300312E-2</v>
      </c>
    </row>
    <row r="10" spans="1:21" x14ac:dyDescent="0.35">
      <c r="A10" s="11" t="s">
        <v>206</v>
      </c>
      <c r="B10" s="11" t="s">
        <v>207</v>
      </c>
      <c r="C10" s="11" t="s">
        <v>205</v>
      </c>
      <c r="D10" s="18">
        <v>191092.62304101561</v>
      </c>
      <c r="E10" s="18">
        <v>264752.91137490852</v>
      </c>
      <c r="F10" s="19">
        <v>1.6699855177407571E-2</v>
      </c>
      <c r="G10" s="19">
        <v>0.121202203427554</v>
      </c>
      <c r="H10" s="47">
        <v>1.0882721987091031</v>
      </c>
      <c r="I10" s="47">
        <v>8.9789803149873801</v>
      </c>
      <c r="J10" s="47">
        <v>10.534279531585449</v>
      </c>
      <c r="K10" s="47">
        <v>13.5069895</v>
      </c>
      <c r="L10" s="47">
        <v>7.909356795016012</v>
      </c>
      <c r="M10" s="47">
        <v>0.9760646897368862</v>
      </c>
      <c r="N10" s="47">
        <v>8.0531926164222583</v>
      </c>
      <c r="O10" s="47">
        <v>8.3800688379690431</v>
      </c>
      <c r="P10" s="47">
        <v>7.7475423600340507</v>
      </c>
      <c r="Q10" s="19">
        <v>4.2978720542340199E-2</v>
      </c>
      <c r="R10" s="19">
        <v>8.1642209689346101E-2</v>
      </c>
      <c r="S10" s="24">
        <v>0.96878279325261119</v>
      </c>
      <c r="T10" s="19">
        <v>0.1076162438772512</v>
      </c>
      <c r="U10" s="19">
        <v>3.1984948259642522E-2</v>
      </c>
    </row>
    <row r="11" spans="1:21" x14ac:dyDescent="0.35">
      <c r="A11" s="11" t="s">
        <v>208</v>
      </c>
      <c r="B11" s="11" t="s">
        <v>209</v>
      </c>
      <c r="C11" s="11" t="s">
        <v>205</v>
      </c>
      <c r="D11" s="18">
        <v>46697.301268310548</v>
      </c>
      <c r="E11" s="18">
        <v>41599.2447733593</v>
      </c>
      <c r="F11" s="19">
        <v>6.7098066236980225E-2</v>
      </c>
      <c r="G11" s="19">
        <v>0.16828794626163299</v>
      </c>
      <c r="H11" s="47">
        <v>1.520311471737601</v>
      </c>
      <c r="I11" s="47">
        <v>9.033989097317825</v>
      </c>
      <c r="J11" s="47">
        <v>9.8478415822794432</v>
      </c>
      <c r="K11" s="47">
        <v>17.00573</v>
      </c>
      <c r="L11" s="47">
        <v>14.561277499330091</v>
      </c>
      <c r="M11" s="47">
        <v>1.340231092458414</v>
      </c>
      <c r="N11" s="47">
        <v>7.9639161462864978</v>
      </c>
      <c r="O11" s="47">
        <v>15.42089160555256</v>
      </c>
      <c r="P11" s="47">
        <v>14.26559240065764</v>
      </c>
      <c r="Q11" s="19">
        <v>7.9588733768499287E-2</v>
      </c>
      <c r="R11" s="19">
        <v>8.0985014323111226E-2</v>
      </c>
      <c r="S11" s="24">
        <v>1.7980212291170321</v>
      </c>
      <c r="T11" s="19">
        <v>5.6571399852651152E-2</v>
      </c>
      <c r="U11" s="19">
        <v>1.13732097725358E-2</v>
      </c>
    </row>
    <row r="12" spans="1:21" x14ac:dyDescent="0.35">
      <c r="A12" s="11" t="s">
        <v>210</v>
      </c>
      <c r="B12" s="11" t="s">
        <v>211</v>
      </c>
      <c r="C12" s="11" t="s">
        <v>212</v>
      </c>
      <c r="D12" s="18">
        <v>1067187.5548550941</v>
      </c>
      <c r="E12" s="18">
        <v>1035029.714072497</v>
      </c>
      <c r="F12" s="19">
        <v>7.3602053264412159E-2</v>
      </c>
      <c r="G12" s="19">
        <v>0.16670189772912311</v>
      </c>
      <c r="H12" s="47">
        <v>1.499575631853612</v>
      </c>
      <c r="I12" s="47">
        <v>8.995552253941943</v>
      </c>
      <c r="J12" s="47">
        <v>10.177790463860751</v>
      </c>
      <c r="K12" s="47">
        <v>14.740622500000001</v>
      </c>
      <c r="L12" s="47">
        <v>12.585516094742291</v>
      </c>
      <c r="M12" s="47">
        <v>1.431885547288364</v>
      </c>
      <c r="N12" s="47">
        <v>8.5894975809757188</v>
      </c>
      <c r="O12" s="47">
        <v>13.32027508856144</v>
      </c>
      <c r="P12" s="47">
        <v>12.585516094742291</v>
      </c>
      <c r="Q12" s="19">
        <v>4.0655461543369187E-2</v>
      </c>
      <c r="R12" s="19">
        <v>5.8381316132605443E-2</v>
      </c>
      <c r="S12" s="24">
        <v>2.15574381128304</v>
      </c>
      <c r="T12" s="19">
        <v>9.6211389279712234E-2</v>
      </c>
      <c r="U12" s="19">
        <v>3.5300487276664863E-2</v>
      </c>
    </row>
    <row r="14" spans="1:21" x14ac:dyDescent="0.35">
      <c r="A14" s="3" t="s">
        <v>213</v>
      </c>
      <c r="F14" s="48">
        <f t="shared" ref="F14:U14" si="0">IFERROR(AVERAGE(F5:F12),"")</f>
        <v>3.8979140831420081E-2</v>
      </c>
      <c r="G14" s="48">
        <f t="shared" si="0"/>
        <v>0.12042245684850336</v>
      </c>
      <c r="H14" s="49">
        <f t="shared" si="0"/>
        <v>1.1278067463942938</v>
      </c>
      <c r="I14" s="49">
        <f t="shared" si="0"/>
        <v>9.6977674828786498</v>
      </c>
      <c r="J14" s="49">
        <f t="shared" si="0"/>
        <v>12.402540781664195</v>
      </c>
      <c r="K14" s="49">
        <f t="shared" si="0"/>
        <v>16.726855714285715</v>
      </c>
      <c r="L14" s="49">
        <f t="shared" si="0"/>
        <v>12.20260582216655</v>
      </c>
      <c r="M14" s="49">
        <f t="shared" si="0"/>
        <v>1.0551914982990578</v>
      </c>
      <c r="N14" s="49">
        <f t="shared" si="0"/>
        <v>9.047539826993491</v>
      </c>
      <c r="O14" s="49">
        <f t="shared" si="0"/>
        <v>13.425189138736863</v>
      </c>
      <c r="P14" s="49">
        <f t="shared" si="0"/>
        <v>11.854821290021766</v>
      </c>
      <c r="Q14" s="48">
        <f t="shared" si="0"/>
        <v>4.6194540039356718E-2</v>
      </c>
      <c r="R14" s="48">
        <f t="shared" si="0"/>
        <v>0.12688045907710549</v>
      </c>
      <c r="S14" s="50">
        <f t="shared" si="0"/>
        <v>1.3315685858445632</v>
      </c>
      <c r="T14" s="48">
        <f t="shared" si="0"/>
        <v>7.7096474028218565E-2</v>
      </c>
      <c r="U14" s="48">
        <f t="shared" si="0"/>
        <v>3.2765955976316284E-2</v>
      </c>
    </row>
    <row r="15" spans="1:21" x14ac:dyDescent="0.35">
      <c r="A15" s="3" t="s">
        <v>214</v>
      </c>
      <c r="F15" s="40">
        <f t="shared" ref="F15:U15" si="1">IFERROR(MEDIAN(F5:F12),"")</f>
        <v>4.18989607071939E-2</v>
      </c>
      <c r="G15" s="40">
        <f t="shared" si="1"/>
        <v>0.10997886807705923</v>
      </c>
      <c r="H15" s="51">
        <f t="shared" si="1"/>
        <v>1.2069209897800239</v>
      </c>
      <c r="I15" s="51">
        <f t="shared" si="1"/>
        <v>8.9872662844646616</v>
      </c>
      <c r="J15" s="51">
        <f t="shared" si="1"/>
        <v>10.177790463860751</v>
      </c>
      <c r="K15" s="51">
        <f t="shared" si="1"/>
        <v>14.740622500000001</v>
      </c>
      <c r="L15" s="51">
        <f t="shared" si="1"/>
        <v>12.885019834313869</v>
      </c>
      <c r="M15" s="51">
        <f t="shared" si="1"/>
        <v>1.1581478910976502</v>
      </c>
      <c r="N15" s="51">
        <f t="shared" si="1"/>
        <v>8.0085543813543776</v>
      </c>
      <c r="O15" s="51">
        <f t="shared" si="1"/>
        <v>14.057897627020715</v>
      </c>
      <c r="P15" s="51">
        <f t="shared" si="1"/>
        <v>12.628507668388066</v>
      </c>
      <c r="Q15" s="40">
        <f t="shared" si="1"/>
        <v>4.1817091042854693E-2</v>
      </c>
      <c r="R15" s="40">
        <f t="shared" si="1"/>
        <v>9.2998758243199059E-2</v>
      </c>
      <c r="S15" s="45">
        <f t="shared" si="1"/>
        <v>1.1852179246511625</v>
      </c>
      <c r="T15" s="40">
        <f t="shared" si="1"/>
        <v>9.1682158119817905E-2</v>
      </c>
      <c r="U15" s="40">
        <f t="shared" si="1"/>
        <v>3.2817337461300312E-2</v>
      </c>
    </row>
    <row r="16" spans="1:21" x14ac:dyDescent="0.35">
      <c r="A16" s="3" t="s">
        <v>215</v>
      </c>
      <c r="F16" s="40">
        <f t="shared" ref="F16:U16" si="2">IFERROR(QUARTILE(F5:F12,1),"")</f>
        <v>-1.6427970737561273E-2</v>
      </c>
      <c r="G16" s="40">
        <f t="shared" si="2"/>
        <v>8.7905510370431234E-2</v>
      </c>
      <c r="H16" s="51">
        <f t="shared" si="2"/>
        <v>0.64090595111563364</v>
      </c>
      <c r="I16" s="51">
        <f t="shared" si="2"/>
        <v>7.5049134589130704</v>
      </c>
      <c r="J16" s="51">
        <f t="shared" si="2"/>
        <v>9.3474784321695985</v>
      </c>
      <c r="K16" s="51">
        <f t="shared" si="2"/>
        <v>11.949762249999999</v>
      </c>
      <c r="L16" s="51">
        <f t="shared" si="2"/>
        <v>10.59672002526834</v>
      </c>
      <c r="M16" s="51">
        <f t="shared" si="2"/>
        <v>0.60345186946787077</v>
      </c>
      <c r="N16" s="51">
        <f t="shared" si="2"/>
        <v>7.2708224734852429</v>
      </c>
      <c r="O16" s="51">
        <f t="shared" si="2"/>
        <v>11.054756908509216</v>
      </c>
      <c r="P16" s="51">
        <f t="shared" si="2"/>
        <v>10.437094129686699</v>
      </c>
      <c r="Q16" s="40">
        <f t="shared" si="2"/>
        <v>3.7325273620589572E-2</v>
      </c>
      <c r="R16" s="40">
        <f t="shared" si="2"/>
        <v>7.533408977548478E-2</v>
      </c>
      <c r="S16" s="45">
        <f t="shared" si="2"/>
        <v>0.79109234760766922</v>
      </c>
      <c r="T16" s="40">
        <f t="shared" si="2"/>
        <v>4.6978429888798606E-2</v>
      </c>
      <c r="U16" s="40">
        <f t="shared" si="2"/>
        <v>2.9476832274373581E-2</v>
      </c>
    </row>
    <row r="17" spans="1:21" x14ac:dyDescent="0.35">
      <c r="A17" s="3" t="s">
        <v>216</v>
      </c>
      <c r="F17" s="40">
        <f t="shared" ref="F17:U17" si="3">IFERROR(QUARTILE(F5:F12,3),"")</f>
        <v>7.5431165721922377E-2</v>
      </c>
      <c r="G17" s="40">
        <f t="shared" si="3"/>
        <v>0.16709840986225058</v>
      </c>
      <c r="H17" s="51">
        <f t="shared" si="3"/>
        <v>1.5047595918246093</v>
      </c>
      <c r="I17" s="51">
        <f t="shared" si="3"/>
        <v>9.4531595245101094</v>
      </c>
      <c r="J17" s="51">
        <f t="shared" si="3"/>
        <v>11.737318789373175</v>
      </c>
      <c r="K17" s="51">
        <f t="shared" si="3"/>
        <v>16.839440500000002</v>
      </c>
      <c r="L17" s="51">
        <f t="shared" si="3"/>
        <v>14.553044729867349</v>
      </c>
      <c r="M17" s="51">
        <f t="shared" si="3"/>
        <v>1.3748551163571268</v>
      </c>
      <c r="N17" s="51">
        <f t="shared" si="3"/>
        <v>8.9578674619955869</v>
      </c>
      <c r="O17" s="51">
        <f t="shared" si="3"/>
        <v>15.662227021564037</v>
      </c>
      <c r="P17" s="51">
        <f t="shared" si="3"/>
        <v>13.687658380264304</v>
      </c>
      <c r="Q17" s="40">
        <f t="shared" si="3"/>
        <v>5.5534785323032132E-2</v>
      </c>
      <c r="R17" s="40">
        <f t="shared" si="3"/>
        <v>0.12316718913487429</v>
      </c>
      <c r="S17" s="45">
        <f t="shared" si="3"/>
        <v>1.887451874658534</v>
      </c>
      <c r="T17" s="40">
        <f t="shared" si="3"/>
        <v>0.11008547572927598</v>
      </c>
      <c r="U17" s="40">
        <f t="shared" si="3"/>
        <v>3.9528890079405951E-2</v>
      </c>
    </row>
    <row r="20" spans="1:21" x14ac:dyDescent="0.35">
      <c r="A20" s="9" t="s">
        <v>217</v>
      </c>
      <c r="D20" s="13" t="s">
        <v>218</v>
      </c>
      <c r="E20" s="14" t="s">
        <v>219</v>
      </c>
      <c r="F20" s="14" t="s">
        <v>220</v>
      </c>
      <c r="G20" s="14" t="s">
        <v>221</v>
      </c>
      <c r="H20" s="14" t="s">
        <v>164</v>
      </c>
    </row>
    <row r="21" spans="1:21" x14ac:dyDescent="0.35">
      <c r="A21" s="11" t="s">
        <v>222</v>
      </c>
      <c r="B21" s="29">
        <f>(Inputs!$B$5*Inputs!$B$6)*Inputs!$B$7</f>
        <v>4852.0086647999997</v>
      </c>
      <c r="D21" s="11" t="s">
        <v>180</v>
      </c>
      <c r="E21" s="30">
        <f>IF(B23&lt;=0,"n.m.",B22/B23)</f>
        <v>1.2090711248158605</v>
      </c>
      <c r="F21" s="30">
        <f>H15</f>
        <v>1.2069209897800239</v>
      </c>
      <c r="G21" s="41">
        <f>IF(B23&lt;=0,"",(H15*B23-Inputs!$B$8-Inputs!$B$9)/Inputs!$B$7/Inputs!$B$6)</f>
        <v>47.318481875573298</v>
      </c>
      <c r="H21" s="35">
        <f>IF(G21="","",G21/Inputs!$B$5-1)</f>
        <v>-1.7197916545717007E-3</v>
      </c>
    </row>
    <row r="22" spans="1:21" x14ac:dyDescent="0.35">
      <c r="A22" s="11" t="s">
        <v>141</v>
      </c>
      <c r="B22" s="29">
        <f>B21+Inputs!$B$8+Inputs!$B$9</f>
        <v>4692.2756647999995</v>
      </c>
      <c r="D22" s="11" t="s">
        <v>181</v>
      </c>
      <c r="E22" s="30">
        <f>IF(B24&lt;=0,"n.m.",B22/B24)</f>
        <v>9.5143159715003502</v>
      </c>
      <c r="F22" s="30">
        <f>I15</f>
        <v>8.9872662844646616</v>
      </c>
      <c r="G22" s="41">
        <f>IF(B24&lt;=0,"",(I15*B24-Inputs!$B$8-Inputs!$B$9)/Inputs!$B$7/Inputs!$B$6)</f>
        <v>44.860698426398507</v>
      </c>
      <c r="H22" s="35">
        <f>IF(G22="","",G22/Inputs!$B$5-1)</f>
        <v>-5.3571763156149643E-2</v>
      </c>
    </row>
    <row r="23" spans="1:21" x14ac:dyDescent="0.35">
      <c r="A23" s="11" t="s">
        <v>223</v>
      </c>
      <c r="B23" s="18">
        <v>3880.893</v>
      </c>
      <c r="D23" s="11" t="s">
        <v>182</v>
      </c>
      <c r="E23" s="30">
        <f>IF(B25&lt;=0,"n.m.",B22/B25)</f>
        <v>10.447709335000727</v>
      </c>
      <c r="F23" s="30">
        <f>J15</f>
        <v>10.177790463860751</v>
      </c>
      <c r="G23" s="41">
        <f>IF(B25&lt;=0,"",(J15*B25-Inputs!$B$8-Inputs!$B$9)/Inputs!$B$7/Inputs!$B$6)</f>
        <v>46.215725277638285</v>
      </c>
      <c r="H23" s="35">
        <f>IF(G23="","",G23/Inputs!$B$5-1)</f>
        <v>-2.4984698784002446E-2</v>
      </c>
    </row>
    <row r="24" spans="1:21" x14ac:dyDescent="0.35">
      <c r="A24" s="11" t="s">
        <v>224</v>
      </c>
      <c r="B24" s="18">
        <v>493.18055852417268</v>
      </c>
      <c r="D24" s="11" t="s">
        <v>183</v>
      </c>
      <c r="E24" s="30">
        <f>IF(B26&lt;=0,"n.m.",(Inputs!$B$5*Inputs!$B$6)/B26)</f>
        <v>14.766355140186915</v>
      </c>
      <c r="F24" s="30">
        <f>K15</f>
        <v>14.740622500000001</v>
      </c>
      <c r="G24" s="41">
        <f>IF(B26&lt;=0,"",K15*B26/Inputs!$B$6)</f>
        <v>47.317398224999998</v>
      </c>
      <c r="H24" s="35">
        <f>IF(G24="","",G24/Inputs!$B$5-1)</f>
        <v>-1.742653481012657E-3</v>
      </c>
    </row>
    <row r="25" spans="1:21" x14ac:dyDescent="0.35">
      <c r="A25" s="11" t="s">
        <v>225</v>
      </c>
      <c r="B25" s="18">
        <v>449.12004290552682</v>
      </c>
    </row>
    <row r="26" spans="1:21" x14ac:dyDescent="0.35">
      <c r="A26" s="11" t="s">
        <v>226</v>
      </c>
      <c r="B26" s="24">
        <v>3.21</v>
      </c>
    </row>
    <row r="28" spans="1:21" x14ac:dyDescent="0.35">
      <c r="A28" s="2" t="s">
        <v>227</v>
      </c>
    </row>
    <row r="30" spans="1:21" x14ac:dyDescent="0.35">
      <c r="A30" s="9" t="s">
        <v>228</v>
      </c>
    </row>
    <row r="31" spans="1:21" x14ac:dyDescent="0.35">
      <c r="A31" s="11" t="s">
        <v>229</v>
      </c>
      <c r="B31" s="24">
        <v>7.0920671452332256</v>
      </c>
    </row>
    <row r="32" spans="1:21" x14ac:dyDescent="0.35">
      <c r="A32" s="11" t="s">
        <v>230</v>
      </c>
      <c r="B32" s="24">
        <v>92.987254701420341</v>
      </c>
    </row>
    <row r="33" spans="1:3" x14ac:dyDescent="0.35">
      <c r="A33" s="11" t="s">
        <v>231</v>
      </c>
      <c r="B33" s="24">
        <v>-14.032292373299169</v>
      </c>
    </row>
    <row r="34" spans="1:3" x14ac:dyDescent="0.35">
      <c r="A34" s="11" t="s">
        <v>232</v>
      </c>
      <c r="B34" s="24">
        <v>0.3758819957643329</v>
      </c>
    </row>
    <row r="35" spans="1:3" x14ac:dyDescent="0.35">
      <c r="A35" s="11" t="s">
        <v>233</v>
      </c>
      <c r="B35" s="24">
        <v>3.6755187206814082</v>
      </c>
    </row>
    <row r="36" spans="1:3" x14ac:dyDescent="0.35">
      <c r="A36" s="11" t="s">
        <v>234</v>
      </c>
      <c r="B36" s="22">
        <v>8</v>
      </c>
    </row>
    <row r="37" spans="1:3" x14ac:dyDescent="0.35">
      <c r="A37" s="11" t="s">
        <v>235</v>
      </c>
      <c r="B37" s="19">
        <v>7.7636014568835954E-2</v>
      </c>
    </row>
    <row r="38" spans="1:3" x14ac:dyDescent="0.35">
      <c r="A38" s="11" t="s">
        <v>236</v>
      </c>
      <c r="B38" s="35">
        <f>IF(B23&gt;0,B24/B23,0)</f>
        <v>0.1270791435177864</v>
      </c>
    </row>
    <row r="39" spans="1:3" x14ac:dyDescent="0.35">
      <c r="A39" s="3" t="s">
        <v>237</v>
      </c>
      <c r="B39" s="51">
        <f>B31+B32*B37+B33*B38</f>
        <v>12.528015309558731</v>
      </c>
      <c r="C39" s="2" t="s">
        <v>238</v>
      </c>
    </row>
    <row r="40" spans="1:3" x14ac:dyDescent="0.35">
      <c r="A40" s="3" t="s">
        <v>239</v>
      </c>
      <c r="B40" s="45">
        <f>IF(B24&lt;=0,"",(B39*B24-Inputs!$B$8-Inputs!$B$9)/Inputs!$B$7/Inputs!$B$6)</f>
        <v>61.91986721505296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4"/>
  <sheetViews>
    <sheetView workbookViewId="0"/>
  </sheetViews>
  <sheetFormatPr defaultRowHeight="14.5" x14ac:dyDescent="0.35"/>
  <cols>
    <col min="1" max="1" width="34" customWidth="1"/>
    <col min="2" max="4" width="12" customWidth="1"/>
  </cols>
  <sheetData>
    <row r="1" spans="1:4" ht="18" x14ac:dyDescent="0.4">
      <c r="A1" s="1" t="s">
        <v>240</v>
      </c>
    </row>
    <row r="2" spans="1:4" x14ac:dyDescent="0.35">
      <c r="A2" s="2" t="s">
        <v>241</v>
      </c>
    </row>
    <row r="4" spans="1:4" x14ac:dyDescent="0.35">
      <c r="A4" s="13" t="s">
        <v>242</v>
      </c>
      <c r="B4" s="14" t="s">
        <v>243</v>
      </c>
      <c r="C4" s="14" t="s">
        <v>244</v>
      </c>
      <c r="D4" s="14" t="s">
        <v>245</v>
      </c>
    </row>
    <row r="5" spans="1:4" x14ac:dyDescent="0.35">
      <c r="A5" s="11" t="s">
        <v>246</v>
      </c>
      <c r="B5" s="24">
        <v>42.15</v>
      </c>
      <c r="C5" s="24">
        <v>67</v>
      </c>
      <c r="D5" s="41">
        <f t="shared" ref="D5:D10" si="0">IFERROR(C5-B5,"")</f>
        <v>24.85</v>
      </c>
    </row>
    <row r="6" spans="1:4" x14ac:dyDescent="0.35">
      <c r="A6" s="11" t="s">
        <v>247</v>
      </c>
      <c r="B6" s="41">
        <f>MIN(DCF!D40:F42)</f>
        <v>66.907100450329892</v>
      </c>
      <c r="C6" s="41">
        <f>MAX(DCF!D40:F42)</f>
        <v>82.982999622296575</v>
      </c>
      <c r="D6" s="41">
        <f t="shared" si="0"/>
        <v>16.075899171966682</v>
      </c>
    </row>
    <row r="7" spans="1:4" x14ac:dyDescent="0.35">
      <c r="A7" s="11" t="s">
        <v>248</v>
      </c>
      <c r="B7" s="41">
        <f>(Peers!I16*Peers!B24-Inputs!$B$8-Inputs!$B$9)/Inputs!$B$7/Inputs!$B$6</f>
        <v>37.718789503680775</v>
      </c>
      <c r="C7" s="41">
        <f>(Peers!I17*Peers!B24-Inputs!$B$8-Inputs!$B$9)/Inputs!$B$7/Inputs!$B$6</f>
        <v>47.105351002195583</v>
      </c>
      <c r="D7" s="41">
        <f t="shared" si="0"/>
        <v>9.3865614985148085</v>
      </c>
    </row>
    <row r="8" spans="1:4" x14ac:dyDescent="0.35">
      <c r="A8" s="11" t="s">
        <v>249</v>
      </c>
      <c r="B8" s="41">
        <f>(Peers!J16*Peers!B25-Inputs!$B$8-Inputs!$B$9)/Inputs!$B$7/Inputs!$B$6</f>
        <v>42.572713780695963</v>
      </c>
      <c r="C8" s="41">
        <f>(Peers!J17*Peers!B25-Inputs!$B$8-Inputs!$B$9)/Inputs!$B$7/Inputs!$B$6</f>
        <v>53.058188596009494</v>
      </c>
      <c r="D8" s="41">
        <f t="shared" si="0"/>
        <v>10.48547481531353</v>
      </c>
    </row>
    <row r="9" spans="1:4" x14ac:dyDescent="0.35">
      <c r="A9" s="11" t="s">
        <v>250</v>
      </c>
      <c r="B9" s="41">
        <f>Peers!K16*Peers!B26/Inputs!$B$6</f>
        <v>38.358736822499999</v>
      </c>
      <c r="C9" s="41">
        <f>Peers!K17*Peers!B26/Inputs!$B$6</f>
        <v>54.054604005000009</v>
      </c>
      <c r="D9" s="41">
        <f t="shared" si="0"/>
        <v>15.69586718250001</v>
      </c>
    </row>
    <row r="10" spans="1:4" x14ac:dyDescent="0.35">
      <c r="A10" s="11" t="s">
        <v>251</v>
      </c>
      <c r="B10" s="41">
        <f>((Peers!$B$39-Peers!$B$35)*Peers!$B$24-Inputs!$B$8-Inputs!$B$9)/Inputs!$B$7/Inputs!$B$6</f>
        <v>44.211384123598144</v>
      </c>
      <c r="C10" s="41">
        <f>((Peers!$B$39+Peers!$B$35)*Peers!$B$24-Inputs!$B$8-Inputs!$B$9)/Inputs!$B$7/Inputs!$B$6</f>
        <v>79.62835030650777</v>
      </c>
      <c r="D10" s="41">
        <f t="shared" si="0"/>
        <v>35.416966182909626</v>
      </c>
    </row>
    <row r="12" spans="1:4" x14ac:dyDescent="0.35">
      <c r="A12" s="11" t="s">
        <v>146</v>
      </c>
      <c r="B12" s="4">
        <f>Inputs!$B$5</f>
        <v>47.4</v>
      </c>
    </row>
    <row r="13" spans="1:4" x14ac:dyDescent="0.35">
      <c r="A13" s="11" t="s">
        <v>5</v>
      </c>
      <c r="B13" s="52">
        <f>DCF!$B$30</f>
        <v>77</v>
      </c>
    </row>
    <row r="14" spans="1:4" x14ac:dyDescent="0.35">
      <c r="A14" s="11" t="s">
        <v>8</v>
      </c>
      <c r="B14" s="53" t="str">
        <f>DCF!$B$33</f>
        <v>BUY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7"/>
  <sheetViews>
    <sheetView workbookViewId="0"/>
  </sheetViews>
  <sheetFormatPr defaultRowHeight="14.5" x14ac:dyDescent="0.35"/>
  <cols>
    <col min="1" max="1" width="62" customWidth="1"/>
    <col min="2" max="2" width="12" customWidth="1"/>
    <col min="3" max="3" width="60" customWidth="1"/>
  </cols>
  <sheetData>
    <row r="1" spans="1:3" ht="18" x14ac:dyDescent="0.4">
      <c r="A1" s="1" t="s">
        <v>252</v>
      </c>
    </row>
    <row r="2" spans="1:3" x14ac:dyDescent="0.35">
      <c r="A2" s="2" t="s">
        <v>253</v>
      </c>
    </row>
    <row r="4" spans="1:3" x14ac:dyDescent="0.35">
      <c r="A4" s="13" t="s">
        <v>254</v>
      </c>
      <c r="B4" s="14" t="s">
        <v>255</v>
      </c>
      <c r="C4" s="13" t="s">
        <v>256</v>
      </c>
    </row>
    <row r="5" spans="1:3" x14ac:dyDescent="0.35">
      <c r="A5" s="11" t="s">
        <v>257</v>
      </c>
      <c r="B5" s="54" t="b">
        <f>WACC!$B$17&gt;Inputs!$B$11</f>
        <v>1</v>
      </c>
      <c r="C5" s="2" t="s">
        <v>258</v>
      </c>
    </row>
    <row r="6" spans="1:3" x14ac:dyDescent="0.35">
      <c r="A6" s="11" t="s">
        <v>259</v>
      </c>
      <c r="B6" s="54" t="b">
        <f>ABS(DCF!B16-(DCF!B10+DCF!B15))&lt;0.01</f>
        <v>1</v>
      </c>
      <c r="C6" s="2" t="s">
        <v>260</v>
      </c>
    </row>
    <row r="7" spans="1:3" x14ac:dyDescent="0.35">
      <c r="A7" s="11" t="s">
        <v>261</v>
      </c>
      <c r="B7" s="54" t="b">
        <f>ABS(DCF!B19-(DCF!B16-Inputs!$B$8-Inputs!$B$9))&lt;0.01</f>
        <v>1</v>
      </c>
      <c r="C7" s="2" t="s">
        <v>262</v>
      </c>
    </row>
    <row r="8" spans="1:3" x14ac:dyDescent="0.35">
      <c r="A8" s="11" t="s">
        <v>263</v>
      </c>
      <c r="B8" s="54" t="b">
        <f>ABS(DCF!E41-DCF!B21)&lt;0.01</f>
        <v>1</v>
      </c>
      <c r="C8" s="2" t="s">
        <v>264</v>
      </c>
    </row>
    <row r="9" spans="1:3" x14ac:dyDescent="0.35">
      <c r="A9" s="11" t="s">
        <v>265</v>
      </c>
      <c r="B9" s="54" t="b">
        <f>ABS(Scenarios!I6-DCF!B21)&lt;0.01</f>
        <v>1</v>
      </c>
      <c r="C9" s="2" t="s">
        <v>266</v>
      </c>
    </row>
    <row r="10" spans="1:3" x14ac:dyDescent="0.35">
      <c r="A10" s="11" t="s">
        <v>267</v>
      </c>
      <c r="B10" s="54" t="b">
        <f>Forecast!B6=Historicals!E5</f>
        <v>1</v>
      </c>
      <c r="C10" s="2" t="s">
        <v>268</v>
      </c>
    </row>
    <row r="11" spans="1:3" x14ac:dyDescent="0.35">
      <c r="A11" s="11" t="s">
        <v>269</v>
      </c>
      <c r="B11" s="54" t="b">
        <f>ABS(WACC!B15+WACC!B16-1)&lt;0.000001</f>
        <v>1</v>
      </c>
      <c r="C11" s="2" t="s">
        <v>270</v>
      </c>
    </row>
    <row r="12" spans="1:3" x14ac:dyDescent="0.35">
      <c r="A12" s="11" t="s">
        <v>271</v>
      </c>
      <c r="B12" s="54" t="b">
        <f>ABS(Scenarios!B8-1)&lt;0.000001</f>
        <v>1</v>
      </c>
      <c r="C12" s="2" t="s">
        <v>272</v>
      </c>
    </row>
    <row r="13" spans="1:3" x14ac:dyDescent="0.35">
      <c r="A13" s="11" t="s">
        <v>273</v>
      </c>
      <c r="B13" s="54" t="b">
        <f>AND(Inputs!$B$5&gt;0,Inputs!$B$7&gt;0,Inputs!$B$6&gt;0)</f>
        <v>1</v>
      </c>
      <c r="C13" s="2" t="s">
        <v>274</v>
      </c>
    </row>
    <row r="14" spans="1:3" x14ac:dyDescent="0.35">
      <c r="A14" s="11" t="s">
        <v>275</v>
      </c>
      <c r="B14" s="54" t="b">
        <f>DCF!B24&lt;0.85</f>
        <v>1</v>
      </c>
      <c r="C14" s="2" t="s">
        <v>276</v>
      </c>
    </row>
    <row r="15" spans="1:3" x14ac:dyDescent="0.35">
      <c r="A15" s="11" t="s">
        <v>277</v>
      </c>
      <c r="B15" s="54" t="b">
        <f>SUMPRODUCT(--ISERROR(Forecast!B5:I20))+SUMPRODUCT(--ISERROR(DCF!B5:G33))+SUMPRODUCT(--ISERROR(Scenarios!B5:J8))=0</f>
        <v>1</v>
      </c>
      <c r="C15" s="2" t="s">
        <v>278</v>
      </c>
    </row>
    <row r="17" spans="1:2" x14ac:dyDescent="0.35">
      <c r="A17" s="3" t="s">
        <v>279</v>
      </c>
      <c r="B17" s="55" t="str">
        <f>IF(AND(B5:B15),"ALL OK","CHECK")</f>
        <v>ALL OK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Inputs</vt:lpstr>
      <vt:lpstr>Historicals</vt:lpstr>
      <vt:lpstr>Forecast</vt:lpstr>
      <vt:lpstr>WACC</vt:lpstr>
      <vt:lpstr>DCF</vt:lpstr>
      <vt:lpstr>Scenarios</vt:lpstr>
      <vt:lpstr>Peers</vt:lpstr>
      <vt:lpstr>Football field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Schjelderup</cp:lastModifiedBy>
  <dcterms:created xsi:type="dcterms:W3CDTF">2026-09-23T12:58:35Z</dcterms:created>
  <dcterms:modified xsi:type="dcterms:W3CDTF">2026-09-23T12:58:38Z</dcterms:modified>
</cp:coreProperties>
</file>