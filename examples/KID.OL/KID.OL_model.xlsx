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25ed27e3db279b7/Desktop/Private prosjekter/equity-research-engine/output/KID.OL/"/>
    </mc:Choice>
  </mc:AlternateContent>
  <xr:revisionPtr revIDLastSave="0" documentId="11_F2A547867C17545E85962F2F5B8C00B1A1DD88B5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over" sheetId="1" r:id="rId1"/>
    <sheet name="Inputs" sheetId="2" r:id="rId2"/>
    <sheet name="Historicals" sheetId="3" r:id="rId3"/>
    <sheet name="Forecast" sheetId="4" r:id="rId4"/>
    <sheet name="WACC" sheetId="5" r:id="rId5"/>
    <sheet name="DCF" sheetId="6" r:id="rId6"/>
    <sheet name="Scenarios" sheetId="7" r:id="rId7"/>
    <sheet name="Peers" sheetId="8" r:id="rId8"/>
    <sheet name="Football field" sheetId="9" r:id="rId9"/>
    <sheet name="Check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0" l="1"/>
  <c r="B11" i="9"/>
  <c r="D5" i="9"/>
  <c r="B26" i="8"/>
  <c r="B9" i="9" s="1"/>
  <c r="E24" i="8"/>
  <c r="B24" i="8"/>
  <c r="B23" i="8"/>
  <c r="B21" i="8"/>
  <c r="B22" i="8" s="1"/>
  <c r="E21" i="8" s="1"/>
  <c r="L17" i="8"/>
  <c r="K17" i="8"/>
  <c r="C9" i="9" s="1"/>
  <c r="D9" i="9" s="1"/>
  <c r="J17" i="8"/>
  <c r="I17" i="8"/>
  <c r="C7" i="9" s="1"/>
  <c r="H17" i="8"/>
  <c r="G17" i="8"/>
  <c r="F17" i="8"/>
  <c r="L16" i="8"/>
  <c r="K16" i="8"/>
  <c r="J16" i="8"/>
  <c r="I16" i="8"/>
  <c r="H16" i="8"/>
  <c r="G16" i="8"/>
  <c r="F16" i="8"/>
  <c r="L15" i="8"/>
  <c r="K15" i="8"/>
  <c r="G24" i="8" s="1"/>
  <c r="H24" i="8" s="1"/>
  <c r="J15" i="8"/>
  <c r="F23" i="8" s="1"/>
  <c r="I15" i="8"/>
  <c r="F22" i="8" s="1"/>
  <c r="B15" i="1" s="1"/>
  <c r="H15" i="8"/>
  <c r="F21" i="8" s="1"/>
  <c r="G15" i="8"/>
  <c r="F15" i="8"/>
  <c r="L14" i="8"/>
  <c r="K14" i="8"/>
  <c r="J14" i="8"/>
  <c r="I14" i="8"/>
  <c r="H14" i="8"/>
  <c r="G14" i="8"/>
  <c r="F14" i="8"/>
  <c r="H45" i="7"/>
  <c r="G45" i="7"/>
  <c r="F45" i="7"/>
  <c r="E45" i="7"/>
  <c r="D45" i="7"/>
  <c r="C45" i="7"/>
  <c r="B44" i="7"/>
  <c r="H43" i="7"/>
  <c r="G43" i="7"/>
  <c r="F43" i="7"/>
  <c r="E43" i="7"/>
  <c r="D43" i="7"/>
  <c r="C43" i="7"/>
  <c r="B42" i="7"/>
  <c r="H30" i="7"/>
  <c r="G30" i="7"/>
  <c r="F30" i="7"/>
  <c r="E30" i="7"/>
  <c r="D30" i="7"/>
  <c r="C30" i="7"/>
  <c r="B29" i="7"/>
  <c r="H28" i="7"/>
  <c r="G28" i="7"/>
  <c r="F28" i="7"/>
  <c r="E28" i="7"/>
  <c r="D28" i="7"/>
  <c r="C28" i="7"/>
  <c r="B27" i="7"/>
  <c r="H15" i="7"/>
  <c r="G15" i="7"/>
  <c r="F15" i="7"/>
  <c r="E15" i="7"/>
  <c r="D15" i="7"/>
  <c r="C15" i="7"/>
  <c r="H13" i="7"/>
  <c r="G13" i="7"/>
  <c r="F13" i="7"/>
  <c r="E13" i="7"/>
  <c r="D13" i="7"/>
  <c r="C13" i="7"/>
  <c r="B12" i="7"/>
  <c r="B8" i="7"/>
  <c r="B12" i="10" s="1"/>
  <c r="H7" i="7"/>
  <c r="H6" i="7"/>
  <c r="H5" i="7"/>
  <c r="A44" i="6"/>
  <c r="A43" i="6"/>
  <c r="A42" i="6"/>
  <c r="A41" i="6"/>
  <c r="A40" i="6"/>
  <c r="A39" i="6"/>
  <c r="A38" i="6"/>
  <c r="B28" i="6"/>
  <c r="B22" i="6"/>
  <c r="B20" i="6"/>
  <c r="B18" i="6"/>
  <c r="B17" i="6"/>
  <c r="B11" i="6"/>
  <c r="G6" i="6"/>
  <c r="F6" i="6"/>
  <c r="E6" i="6"/>
  <c r="D6" i="6"/>
  <c r="C6" i="6"/>
  <c r="B6" i="6"/>
  <c r="B14" i="5"/>
  <c r="B16" i="5" s="1"/>
  <c r="B13" i="5"/>
  <c r="B15" i="5" s="1"/>
  <c r="B17" i="5" s="1"/>
  <c r="B11" i="5"/>
  <c r="B10" i="5"/>
  <c r="B12" i="5" s="1"/>
  <c r="B8" i="5"/>
  <c r="B7" i="5"/>
  <c r="B6" i="5"/>
  <c r="B5" i="5"/>
  <c r="B9" i="5" s="1"/>
  <c r="B27" i="6" s="1"/>
  <c r="B18" i="4"/>
  <c r="H17" i="4"/>
  <c r="I17" i="4" s="1"/>
  <c r="G17" i="4"/>
  <c r="F17" i="4"/>
  <c r="E17" i="4"/>
  <c r="D17" i="4"/>
  <c r="C17" i="4"/>
  <c r="B16" i="4"/>
  <c r="H15" i="4"/>
  <c r="I15" i="4" s="1"/>
  <c r="G15" i="4"/>
  <c r="F15" i="4"/>
  <c r="E15" i="4"/>
  <c r="D15" i="4"/>
  <c r="C15" i="4"/>
  <c r="H9" i="4"/>
  <c r="I9" i="4" s="1"/>
  <c r="G9" i="4"/>
  <c r="F9" i="4"/>
  <c r="E9" i="4"/>
  <c r="D9" i="4"/>
  <c r="C9" i="4"/>
  <c r="B8" i="4"/>
  <c r="B7" i="4" s="1"/>
  <c r="H7" i="4"/>
  <c r="I7" i="4" s="1"/>
  <c r="G7" i="4"/>
  <c r="F7" i="4"/>
  <c r="E7" i="4"/>
  <c r="D7" i="4"/>
  <c r="C7" i="4"/>
  <c r="C6" i="4"/>
  <c r="C8" i="4" s="1"/>
  <c r="B6" i="4"/>
  <c r="B10" i="10" s="1"/>
  <c r="I5" i="4"/>
  <c r="H5" i="4"/>
  <c r="G5" i="4"/>
  <c r="F5" i="4"/>
  <c r="E5" i="4"/>
  <c r="D5" i="4"/>
  <c r="C5" i="4"/>
  <c r="D28" i="3"/>
  <c r="C28" i="3"/>
  <c r="B28" i="3"/>
  <c r="E13" i="3"/>
  <c r="B10" i="4" s="1"/>
  <c r="D13" i="3"/>
  <c r="D14" i="3" s="1"/>
  <c r="C13" i="3"/>
  <c r="C14" i="3" s="1"/>
  <c r="B13" i="3"/>
  <c r="B14" i="3" s="1"/>
  <c r="D10" i="3"/>
  <c r="C10" i="3"/>
  <c r="B10" i="3"/>
  <c r="E9" i="3"/>
  <c r="E10" i="3" s="1"/>
  <c r="D9" i="3"/>
  <c r="C9" i="3"/>
  <c r="B9" i="3"/>
  <c r="E6" i="3"/>
  <c r="D6" i="3"/>
  <c r="C6" i="3"/>
  <c r="B13" i="1"/>
  <c r="B4" i="1"/>
  <c r="C44" i="7" l="1"/>
  <c r="G22" i="8"/>
  <c r="H22" i="8" s="1"/>
  <c r="C29" i="7"/>
  <c r="C36" i="7" s="1"/>
  <c r="B7" i="9"/>
  <c r="D7" i="9" s="1"/>
  <c r="F24" i="8"/>
  <c r="G21" i="8"/>
  <c r="H21" i="8" s="1"/>
  <c r="D17" i="3"/>
  <c r="D20" i="3" s="1"/>
  <c r="D21" i="3" s="1"/>
  <c r="D15" i="3"/>
  <c r="G37" i="6"/>
  <c r="G7" i="6"/>
  <c r="F37" i="6"/>
  <c r="F7" i="6"/>
  <c r="E37" i="6"/>
  <c r="E7" i="6"/>
  <c r="D37" i="6"/>
  <c r="D7" i="6"/>
  <c r="C37" i="6"/>
  <c r="C7" i="6"/>
  <c r="G5" i="7"/>
  <c r="B37" i="6"/>
  <c r="B7" i="6"/>
  <c r="G7" i="7"/>
  <c r="B12" i="6"/>
  <c r="B12" i="1"/>
  <c r="G6" i="7"/>
  <c r="B5" i="10"/>
  <c r="H37" i="6"/>
  <c r="C17" i="3"/>
  <c r="C20" i="3" s="1"/>
  <c r="C21" i="3" s="1"/>
  <c r="C15" i="3"/>
  <c r="B15" i="3"/>
  <c r="B17" i="3"/>
  <c r="B20" i="3" s="1"/>
  <c r="B21" i="3" s="1"/>
  <c r="C52" i="7"/>
  <c r="C46" i="7"/>
  <c r="D44" i="7"/>
  <c r="C47" i="7"/>
  <c r="C51" i="7"/>
  <c r="C37" i="7"/>
  <c r="C31" i="7"/>
  <c r="D29" i="7"/>
  <c r="E14" i="3"/>
  <c r="B14" i="7"/>
  <c r="C14" i="7" s="1"/>
  <c r="E28" i="3"/>
  <c r="C18" i="4"/>
  <c r="E22" i="8"/>
  <c r="B14" i="1" s="1"/>
  <c r="C16" i="4"/>
  <c r="B11" i="10"/>
  <c r="C10" i="4"/>
  <c r="C11" i="4" s="1"/>
  <c r="D6" i="4"/>
  <c r="C32" i="7" l="1"/>
  <c r="C13" i="4"/>
  <c r="C14" i="4" s="1"/>
  <c r="C19" i="4" s="1"/>
  <c r="C12" i="4"/>
  <c r="D8" i="4"/>
  <c r="D10" i="4"/>
  <c r="D16" i="4"/>
  <c r="E6" i="4"/>
  <c r="D18" i="4"/>
  <c r="C16" i="7"/>
  <c r="C21" i="7"/>
  <c r="C17" i="7"/>
  <c r="D14" i="7"/>
  <c r="C22" i="7"/>
  <c r="E17" i="3"/>
  <c r="E15" i="3"/>
  <c r="B25" i="8"/>
  <c r="B11" i="4"/>
  <c r="D36" i="7"/>
  <c r="D37" i="7"/>
  <c r="E29" i="7"/>
  <c r="D31" i="7"/>
  <c r="D32" i="7"/>
  <c r="D52" i="7"/>
  <c r="D46" i="7"/>
  <c r="D51" i="7"/>
  <c r="E44" i="7"/>
  <c r="D47" i="7"/>
  <c r="C33" i="7"/>
  <c r="C48" i="7"/>
  <c r="C18" i="7" l="1"/>
  <c r="D11" i="4"/>
  <c r="D12" i="4" s="1"/>
  <c r="C20" i="4"/>
  <c r="B5" i="6"/>
  <c r="C19" i="7"/>
  <c r="C20" i="7" s="1"/>
  <c r="C23" i="7" s="1"/>
  <c r="E46" i="7"/>
  <c r="E47" i="7"/>
  <c r="E51" i="7"/>
  <c r="E52" i="7"/>
  <c r="F44" i="7"/>
  <c r="E20" i="3"/>
  <c r="B14" i="4"/>
  <c r="E10" i="4"/>
  <c r="F6" i="4"/>
  <c r="E8" i="4"/>
  <c r="E11" i="4" s="1"/>
  <c r="E18" i="4"/>
  <c r="E16" i="4"/>
  <c r="D33" i="7"/>
  <c r="G23" i="8"/>
  <c r="H23" i="8" s="1"/>
  <c r="E23" i="8"/>
  <c r="C8" i="9"/>
  <c r="B8" i="9"/>
  <c r="C49" i="7"/>
  <c r="C50" i="7" s="1"/>
  <c r="C53" i="7" s="1"/>
  <c r="D22" i="7"/>
  <c r="D16" i="7"/>
  <c r="D21" i="7"/>
  <c r="E14" i="7"/>
  <c r="D17" i="7"/>
  <c r="D48" i="7"/>
  <c r="E31" i="7"/>
  <c r="E37" i="7"/>
  <c r="E36" i="7"/>
  <c r="E32" i="7"/>
  <c r="F29" i="7"/>
  <c r="C34" i="7"/>
  <c r="C35" i="7"/>
  <c r="C38" i="7" s="1"/>
  <c r="D13" i="4" l="1"/>
  <c r="D14" i="4" s="1"/>
  <c r="D19" i="4" s="1"/>
  <c r="E33" i="7"/>
  <c r="D20" i="4"/>
  <c r="C5" i="6"/>
  <c r="C8" i="6" s="1"/>
  <c r="F10" i="4"/>
  <c r="F18" i="4"/>
  <c r="F8" i="4"/>
  <c r="F11" i="4" s="1"/>
  <c r="G6" i="4"/>
  <c r="F16" i="4"/>
  <c r="D18" i="7"/>
  <c r="D8" i="9"/>
  <c r="E12" i="4"/>
  <c r="E13" i="4"/>
  <c r="E14" i="4" s="1"/>
  <c r="E19" i="4" s="1"/>
  <c r="D49" i="7"/>
  <c r="D50" i="7" s="1"/>
  <c r="D53" i="7" s="1"/>
  <c r="E21" i="3"/>
  <c r="B19" i="4"/>
  <c r="E48" i="7"/>
  <c r="D34" i="7"/>
  <c r="D35" i="7" s="1"/>
  <c r="D38" i="7" s="1"/>
  <c r="E34" i="7"/>
  <c r="E35" i="7" s="1"/>
  <c r="E38" i="7" s="1"/>
  <c r="E21" i="7"/>
  <c r="E22" i="7"/>
  <c r="E16" i="7"/>
  <c r="F14" i="7"/>
  <c r="E17" i="7"/>
  <c r="B8" i="6"/>
  <c r="F46" i="7"/>
  <c r="F52" i="7"/>
  <c r="F51" i="7"/>
  <c r="G44" i="7"/>
  <c r="F47" i="7"/>
  <c r="F37" i="7"/>
  <c r="F36" i="7"/>
  <c r="F31" i="7"/>
  <c r="G29" i="7"/>
  <c r="F32" i="7"/>
  <c r="D5" i="6" l="1"/>
  <c r="E20" i="4"/>
  <c r="F33" i="7"/>
  <c r="G51" i="7"/>
  <c r="G52" i="7"/>
  <c r="G47" i="7"/>
  <c r="G46" i="7"/>
  <c r="H44" i="7"/>
  <c r="D19" i="7"/>
  <c r="D20" i="7" s="1"/>
  <c r="D23" i="7" s="1"/>
  <c r="F12" i="4"/>
  <c r="F13" i="4"/>
  <c r="F14" i="4" s="1"/>
  <c r="F19" i="4" s="1"/>
  <c r="E18" i="7"/>
  <c r="G36" i="7"/>
  <c r="G37" i="7"/>
  <c r="G31" i="7"/>
  <c r="H29" i="7"/>
  <c r="G32" i="7"/>
  <c r="F48" i="7"/>
  <c r="G10" i="4"/>
  <c r="G8" i="4"/>
  <c r="G18" i="4"/>
  <c r="G16" i="4"/>
  <c r="H6" i="4"/>
  <c r="F21" i="7"/>
  <c r="F16" i="7"/>
  <c r="G14" i="7"/>
  <c r="F22" i="7"/>
  <c r="F17" i="7"/>
  <c r="E49" i="7"/>
  <c r="E50" i="7" s="1"/>
  <c r="E53" i="7" s="1"/>
  <c r="G11" i="4" l="1"/>
  <c r="G12" i="4" s="1"/>
  <c r="F20" i="4"/>
  <c r="E5" i="6"/>
  <c r="H14" i="7"/>
  <c r="G17" i="7"/>
  <c r="G21" i="7"/>
  <c r="G16" i="7"/>
  <c r="G18" i="7" s="1"/>
  <c r="G22" i="7"/>
  <c r="H46" i="7"/>
  <c r="H51" i="7"/>
  <c r="H52" i="7"/>
  <c r="H47" i="7"/>
  <c r="H10" i="4"/>
  <c r="H16" i="4"/>
  <c r="I6" i="4"/>
  <c r="H8" i="4"/>
  <c r="H18" i="4"/>
  <c r="F34" i="7"/>
  <c r="F35" i="7" s="1"/>
  <c r="F38" i="7" s="1"/>
  <c r="H36" i="7"/>
  <c r="H37" i="7"/>
  <c r="H31" i="7"/>
  <c r="H32" i="7"/>
  <c r="D8" i="6"/>
  <c r="F49" i="7"/>
  <c r="F50" i="7" s="1"/>
  <c r="F53" i="7" s="1"/>
  <c r="G33" i="7"/>
  <c r="E19" i="7"/>
  <c r="E20" i="7" s="1"/>
  <c r="E23" i="7" s="1"/>
  <c r="F18" i="7"/>
  <c r="G48" i="7"/>
  <c r="G13" i="4" l="1"/>
  <c r="G14" i="4" s="1"/>
  <c r="G19" i="4" s="1"/>
  <c r="G20" i="4" s="1"/>
  <c r="I10" i="4"/>
  <c r="I8" i="4"/>
  <c r="I11" i="4" s="1"/>
  <c r="I16" i="4"/>
  <c r="I18" i="4"/>
  <c r="G19" i="7"/>
  <c r="G20" i="7" s="1"/>
  <c r="G23" i="7" s="1"/>
  <c r="F19" i="7"/>
  <c r="F20" i="7"/>
  <c r="F23" i="7" s="1"/>
  <c r="H33" i="7"/>
  <c r="H21" i="7"/>
  <c r="H17" i="7"/>
  <c r="H22" i="7"/>
  <c r="H16" i="7"/>
  <c r="E8" i="6"/>
  <c r="G49" i="7"/>
  <c r="G50" i="7" s="1"/>
  <c r="G53" i="7" s="1"/>
  <c r="H48" i="7"/>
  <c r="G34" i="7"/>
  <c r="G35" i="7" s="1"/>
  <c r="G38" i="7" s="1"/>
  <c r="H11" i="4"/>
  <c r="F5" i="6" l="1"/>
  <c r="F8" i="6"/>
  <c r="H34" i="7"/>
  <c r="H35" i="7" s="1"/>
  <c r="H38" i="7" s="1"/>
  <c r="B39" i="7" s="1"/>
  <c r="B40" i="7" s="1"/>
  <c r="I6" i="7" s="1"/>
  <c r="H18" i="7"/>
  <c r="I12" i="4"/>
  <c r="I13" i="4"/>
  <c r="I14" i="4" s="1"/>
  <c r="I19" i="4" s="1"/>
  <c r="I20" i="4" s="1"/>
  <c r="H12" i="4"/>
  <c r="H13" i="4"/>
  <c r="H14" i="4" s="1"/>
  <c r="H19" i="4" s="1"/>
  <c r="H49" i="7"/>
  <c r="H50" i="7" s="1"/>
  <c r="H53" i="7" s="1"/>
  <c r="B54" i="7" s="1"/>
  <c r="B55" i="7" s="1"/>
  <c r="I7" i="7" s="1"/>
  <c r="J7" i="7" s="1"/>
  <c r="H20" i="4" l="1"/>
  <c r="G5" i="6"/>
  <c r="J6" i="7"/>
  <c r="H19" i="7"/>
  <c r="H20" i="7" s="1"/>
  <c r="H23" i="7" s="1"/>
  <c r="B24" i="7" s="1"/>
  <c r="B25" i="7" s="1"/>
  <c r="I5" i="7" s="1"/>
  <c r="I8" i="7" l="1"/>
  <c r="J5" i="7"/>
  <c r="G8" i="6"/>
  <c r="B10" i="6" s="1"/>
  <c r="B13" i="6"/>
  <c r="B14" i="6" s="1"/>
  <c r="F38" i="6"/>
  <c r="E42" i="6"/>
  <c r="B40" i="6"/>
  <c r="D41" i="6"/>
  <c r="F43" i="6"/>
  <c r="F39" i="6"/>
  <c r="H41" i="6"/>
  <c r="G41" i="6"/>
  <c r="D39" i="6"/>
  <c r="B42" i="6"/>
  <c r="G42" i="6"/>
  <c r="D38" i="6"/>
  <c r="C40" i="6"/>
  <c r="E41" i="6"/>
  <c r="H38" i="6"/>
  <c r="E38" i="6"/>
  <c r="H42" i="6"/>
  <c r="C42" i="6"/>
  <c r="H40" i="6"/>
  <c r="D40" i="6"/>
  <c r="C44" i="6"/>
  <c r="F41" i="6"/>
  <c r="H44" i="6"/>
  <c r="F40" i="6"/>
  <c r="B43" i="6"/>
  <c r="G40" i="6"/>
  <c r="B38" i="6"/>
  <c r="C43" i="6"/>
  <c r="B41" i="6"/>
  <c r="G44" i="6"/>
  <c r="E40" i="6"/>
  <c r="D42" i="6"/>
  <c r="E43" i="6"/>
  <c r="C39" i="6"/>
  <c r="E39" i="6"/>
  <c r="H39" i="6"/>
  <c r="H43" i="6"/>
  <c r="D44" i="6"/>
  <c r="B44" i="6"/>
  <c r="E44" i="6"/>
  <c r="G38" i="6"/>
  <c r="G43" i="6"/>
  <c r="C38" i="6"/>
  <c r="F42" i="6"/>
  <c r="C41" i="6"/>
  <c r="F44" i="6"/>
  <c r="G39" i="6"/>
  <c r="B39" i="6"/>
  <c r="D43" i="6"/>
  <c r="B25" i="6" l="1"/>
  <c r="B15" i="6"/>
  <c r="C6" i="9"/>
  <c r="B6" i="9"/>
  <c r="B16" i="6"/>
  <c r="J8" i="7"/>
  <c r="B6" i="1"/>
  <c r="B19" i="6" l="1"/>
  <c r="B6" i="10"/>
  <c r="B24" i="6"/>
  <c r="B14" i="10" s="1"/>
  <c r="D6" i="9"/>
  <c r="B21" i="6" l="1"/>
  <c r="B7" i="10"/>
  <c r="B5" i="1" l="1"/>
  <c r="B23" i="6"/>
  <c r="B26" i="6"/>
  <c r="B9" i="10"/>
  <c r="B8" i="10"/>
  <c r="B29" i="6" l="1"/>
  <c r="B30" i="6" s="1"/>
  <c r="B7" i="1" l="1"/>
  <c r="B12" i="9"/>
  <c r="B32" i="6"/>
  <c r="B31" i="6"/>
  <c r="B8" i="1" s="1"/>
  <c r="B9" i="1" l="1"/>
  <c r="B33" i="6"/>
  <c r="B10" i="1" l="1"/>
  <c r="B13" i="9"/>
  <c r="B15" i="10"/>
  <c r="B17" i="10" s="1"/>
  <c r="B11" i="1" s="1"/>
</calcChain>
</file>

<file path=xl/sharedStrings.xml><?xml version="1.0" encoding="utf-8"?>
<sst xmlns="http://schemas.openxmlformats.org/spreadsheetml/2006/main" count="378" uniqueCount="246">
  <si>
    <t>Kid ASA (KID.OL) – valuation model</t>
  </si>
  <si>
    <t>Generated by Equity Research Engine on 2026-09-21</t>
  </si>
  <si>
    <t>Share price (NOK)</t>
  </si>
  <si>
    <t>DCF fair value per share (NOK)</t>
  </si>
  <si>
    <t>Probability-weighted scenario value (NOK)</t>
  </si>
  <si>
    <t>Target price (NOK)</t>
  </si>
  <si>
    <t>Upside to target price</t>
  </si>
  <si>
    <t>Expected total return</t>
  </si>
  <si>
    <t>Rating</t>
  </si>
  <si>
    <t>Model checks</t>
  </si>
  <si>
    <t>WACC</t>
  </si>
  <si>
    <t>Terminal growth</t>
  </si>
  <si>
    <t>EV/EBITDA (LTM)</t>
  </si>
  <si>
    <t>Peer median EV/EBITDA</t>
  </si>
  <si>
    <t>Legend</t>
  </si>
  <si>
    <t>Blue text = hard-coded input (edit these)</t>
  </si>
  <si>
    <t>Black text = formula</t>
  </si>
  <si>
    <t>Green text = link to another sheet</t>
  </si>
  <si>
    <t>Yellow fill = key assumption</t>
  </si>
  <si>
    <t>Sheets: Inputs -&gt; Historicals -&gt; Forecast -&gt; WACC -&gt; DCF -&gt; Peers -&gt; Football field</t>
  </si>
  <si>
    <t>Lease treatment: operating. Sources: Company reports, Yahoo Finance, Equity Research Engine estimates</t>
  </si>
  <si>
    <t>Kid ASA – model inputs</t>
  </si>
  <si>
    <t>All figures in NOKm unless stated. Blue = input, black = formula, green = link.</t>
  </si>
  <si>
    <t>Market data</t>
  </si>
  <si>
    <t>Value</t>
  </si>
  <si>
    <t>Source / note</t>
  </si>
  <si>
    <t>Yahoo Finance close</t>
  </si>
  <si>
    <t>FX: NOK per NOK</t>
  </si>
  <si>
    <t>1.0 when the company reports in its listing currency</t>
  </si>
  <si>
    <t>Shares outstanding (m)</t>
  </si>
  <si>
    <t>Yahoo Finance</t>
  </si>
  <si>
    <t>Net debt</t>
  </si>
  <si>
    <t>Latest balance sheet (ex leases)</t>
  </si>
  <si>
    <t>Minority interest</t>
  </si>
  <si>
    <t>Latest balance sheet</t>
  </si>
  <si>
    <t>Tax rate</t>
  </si>
  <si>
    <t>config</t>
  </si>
  <si>
    <t>Config</t>
  </si>
  <si>
    <t>Risk-free rate</t>
  </si>
  <si>
    <t>Equity risk premium</t>
  </si>
  <si>
    <t>Beta (adjusted)</t>
  </si>
  <si>
    <t>Yahoo Finance (5y monthly); regression vs OSEBX rejected (R2=0.03 &lt; 0.10), Blume-adjusted</t>
  </si>
  <si>
    <t>Size premium</t>
  </si>
  <si>
    <t>size premium 1.50% (market cap USD 0.5bn)</t>
  </si>
  <si>
    <t>Cost of debt (pre-tax)</t>
  </si>
  <si>
    <t>interest expense / average debt</t>
  </si>
  <si>
    <t>Gross debt for WACC weights</t>
  </si>
  <si>
    <t>Mid-year convention (1 = yes)</t>
  </si>
  <si>
    <t>Terminal method (1 = value driver)</t>
  </si>
  <si>
    <t>0 = Gordon growth on FCF; 1 = NOPAT x (1 - g/RONIC) / (WACC - g)</t>
  </si>
  <si>
    <t>RONIC (value driver only)</t>
  </si>
  <si>
    <t>Return on new invested capital</t>
  </si>
  <si>
    <t>Expected dividend per share (NOK)</t>
  </si>
  <si>
    <t>Last year's cash dividend per share</t>
  </si>
  <si>
    <t>Roll-forward months</t>
  </si>
  <si>
    <t>12 = twelve-month target price; 0 = fair value today</t>
  </si>
  <si>
    <t>Target price rounding</t>
  </si>
  <si>
    <t>Weight on DCF in fair value</t>
  </si>
  <si>
    <t>1 = pure DCF (tp_method: dcf); below 1 blends in the peer-multiple value</t>
  </si>
  <si>
    <t>Peer-multiple value per share (NOK)</t>
  </si>
  <si>
    <t>Median of the multiple-implied values (engine)</t>
  </si>
  <si>
    <t>BUY threshold (total return)</t>
  </si>
  <si>
    <t>SELL threshold (total return)</t>
  </si>
  <si>
    <t>Forecast drivers</t>
  </si>
  <si>
    <t>2026E</t>
  </si>
  <si>
    <t>2027E</t>
  </si>
  <si>
    <t>2028E</t>
  </si>
  <si>
    <t>2029E</t>
  </si>
  <si>
    <t>2030E</t>
  </si>
  <si>
    <t>2031E</t>
  </si>
  <si>
    <t>Revenue growth</t>
  </si>
  <si>
    <t>EBITDA margin</t>
  </si>
  <si>
    <t>D&amp;A % of revenue</t>
  </si>
  <si>
    <t>Capex % of revenue</t>
  </si>
  <si>
    <t>Net working capital % of revenue</t>
  </si>
  <si>
    <t>Notes: Revenue growth anchored on consensus (4 analysts), fading linearly to 2.0% terminal growth. EBITDA margin held near the 3-year average of 15.3%. Net working capital held at 3.9% of revenue (3-year average from the balance sheet). Capex normalises from 5.6% to 3.6% of revenue (D&amp;A x 1.05) by 2031E.</t>
  </si>
  <si>
    <t>Lease treatment: operating (lease rate 4.50%). Growth anchor: consensus (4 analysts).</t>
  </si>
  <si>
    <t>Kid ASA – historical financials (NOKm)</t>
  </si>
  <si>
    <t>Source: company reports via Yahoo Finance; lease adjustments per methodology.</t>
  </si>
  <si>
    <t>NOKm</t>
  </si>
  <si>
    <t>2022A</t>
  </si>
  <si>
    <t>2023A</t>
  </si>
  <si>
    <t>2024A</t>
  </si>
  <si>
    <t>2025A</t>
  </si>
  <si>
    <t>Revenue</t>
  </si>
  <si>
    <t>Growth</t>
  </si>
  <si>
    <t>EBITDA (reported)</t>
  </si>
  <si>
    <t>Lease cost (rent)</t>
  </si>
  <si>
    <t>EBITDA</t>
  </si>
  <si>
    <t>D&amp;A (reported)</t>
  </si>
  <si>
    <t>Right-of-use depreciation</t>
  </si>
  <si>
    <t>D&amp;A</t>
  </si>
  <si>
    <t>EBIT</t>
  </si>
  <si>
    <t>EBIT margin</t>
  </si>
  <si>
    <t>Tax rate (effective, used)</t>
  </si>
  <si>
    <t>NOPAT</t>
  </si>
  <si>
    <t>Capex</t>
  </si>
  <si>
    <t>Change in NWC</t>
  </si>
  <si>
    <t>Unlevered FCF</t>
  </si>
  <si>
    <t>FCF margin</t>
  </si>
  <si>
    <t>Net income</t>
  </si>
  <si>
    <t>Diluted EPS</t>
  </si>
  <si>
    <t>Cash</t>
  </si>
  <si>
    <t>Total debt (incl. leases)</t>
  </si>
  <si>
    <t>Lease liabilities</t>
  </si>
  <si>
    <t>Net debt (model basis)</t>
  </si>
  <si>
    <t>Net debt / EBITDA</t>
  </si>
  <si>
    <t>Interest expense (ex leases)</t>
  </si>
  <si>
    <t>Kid ASA – forecast (NOKm)</t>
  </si>
  <si>
    <t>Formulas reference the Inputs sheet; last actual year is linked from Historicals.</t>
  </si>
  <si>
    <t>Terminal</t>
  </si>
  <si>
    <t>Tax</t>
  </si>
  <si>
    <t>Cost of capital</t>
  </si>
  <si>
    <t>CAPM cost of equity, after-tax cost of debt, market-value weights.</t>
  </si>
  <si>
    <t>Component</t>
  </si>
  <si>
    <t>Cost of equity</t>
  </si>
  <si>
    <t>Cost of debt (after tax)</t>
  </si>
  <si>
    <t>Equity value (market cap)</t>
  </si>
  <si>
    <t>Debt value</t>
  </si>
  <si>
    <t>Weight of equity</t>
  </si>
  <si>
    <t>Weight of debt</t>
  </si>
  <si>
    <t>Kid ASA – DCF valuation (NOKm)</t>
  </si>
  <si>
    <t>Unlevered FCF discounted at WACC; Gordon growth terminal value.</t>
  </si>
  <si>
    <t>Year</t>
  </si>
  <si>
    <t>Discount period (years)</t>
  </si>
  <si>
    <t>Discount factor</t>
  </si>
  <si>
    <t>PV of FCF</t>
  </si>
  <si>
    <t>Sum of PV of FCF</t>
  </si>
  <si>
    <t>Terminal cash flow (year N+1)</t>
  </si>
  <si>
    <t>Terminal value</t>
  </si>
  <si>
    <t>PV of terminal value</t>
  </si>
  <si>
    <t>Enterprise value</t>
  </si>
  <si>
    <t>Less: net debt</t>
  </si>
  <si>
    <t>Less: minority interest</t>
  </si>
  <si>
    <t>Equity value</t>
  </si>
  <si>
    <t>Fair value per share, DCF (NOK)</t>
  </si>
  <si>
    <t>Current share price (NOK)</t>
  </si>
  <si>
    <t>Upside / (downside) to fair value</t>
  </si>
  <si>
    <t>Terminal value as % of EV</t>
  </si>
  <si>
    <t>Implied exit EV/EBITDA</t>
  </si>
  <si>
    <t>Fair value used for the target price</t>
  </si>
  <si>
    <t>Target price before rounding</t>
  </si>
  <si>
    <t>Expected total return (incl. dividend)</t>
  </si>
  <si>
    <t>Sensitivity: value per share (rows = terminal growth, columns = WACC)</t>
  </si>
  <si>
    <t>g \ WACC</t>
  </si>
  <si>
    <t>Scenario analysis</t>
  </si>
  <si>
    <t>Shifts are additive to the base case (Inputs sheet). Edit the blue cells; every scenario re-runs the full forecast.</t>
  </si>
  <si>
    <t>Scenario</t>
  </si>
  <si>
    <t>Probability</t>
  </si>
  <si>
    <t>Growth shift</t>
  </si>
  <si>
    <t>Margin shift</t>
  </si>
  <si>
    <t>WACC shift</t>
  </si>
  <si>
    <t>Terminal g shift</t>
  </si>
  <si>
    <t>Value per share (NOK)</t>
  </si>
  <si>
    <t>vs price</t>
  </si>
  <si>
    <t>Bear</t>
  </si>
  <si>
    <t>Base</t>
  </si>
  <si>
    <t>Bull</t>
  </si>
  <si>
    <t>Probability-weighted</t>
  </si>
  <si>
    <t>Bear case (NOKm)</t>
  </si>
  <si>
    <t>Base case (NOKm)</t>
  </si>
  <si>
    <t>Bull case (NOKm)</t>
  </si>
  <si>
    <t>Peer multiples</t>
  </si>
  <si>
    <t>Multiples computed from last reported fiscal year; EV on the same lease basis as the target company.</t>
  </si>
  <si>
    <t>Company</t>
  </si>
  <si>
    <t>Ticker</t>
  </si>
  <si>
    <t>Group</t>
  </si>
  <si>
    <t>Market cap (NOKm)</t>
  </si>
  <si>
    <t>EV (NOKm)</t>
  </si>
  <si>
    <t>Rev. growth</t>
  </si>
  <si>
    <t>EV/Sales</t>
  </si>
  <si>
    <t>EV/EBITDA</t>
  </si>
  <si>
    <t>EV/EBIT</t>
  </si>
  <si>
    <t>P/E</t>
  </si>
  <si>
    <t>P/E (fwd)</t>
  </si>
  <si>
    <t>Europris</t>
  </si>
  <si>
    <t>EPR.OL</t>
  </si>
  <si>
    <t>Nordic retail</t>
  </si>
  <si>
    <t>Clas Ohlson</t>
  </si>
  <si>
    <t>CLAS-B.ST</t>
  </si>
  <si>
    <t>Rusta</t>
  </si>
  <si>
    <t>RUSTA.ST</t>
  </si>
  <si>
    <t>Tokmanni</t>
  </si>
  <si>
    <t>TOKMAN.HE</t>
  </si>
  <si>
    <t>BHG Group</t>
  </si>
  <si>
    <t>BHG.ST</t>
  </si>
  <si>
    <t>Byggmax</t>
  </si>
  <si>
    <t>BMAX.ST</t>
  </si>
  <si>
    <t>Orkla</t>
  </si>
  <si>
    <t>ORK.OL</t>
  </si>
  <si>
    <t>Nordic consumer</t>
  </si>
  <si>
    <t>H&amp;M</t>
  </si>
  <si>
    <t>HM-B.ST</t>
  </si>
  <si>
    <t>Average</t>
  </si>
  <si>
    <t>Median</t>
  </si>
  <si>
    <t>25th percentile</t>
  </si>
  <si>
    <t>75th percentile</t>
  </si>
  <si>
    <t>Kid – current multiples and implied value</t>
  </si>
  <si>
    <t>Multiple</t>
  </si>
  <si>
    <t>Kid</t>
  </si>
  <si>
    <t>Peer median</t>
  </si>
  <si>
    <t>Implied value/share (NOK)</t>
  </si>
  <si>
    <t>Market cap</t>
  </si>
  <si>
    <t>LTM revenue</t>
  </si>
  <si>
    <t>LTM EBITDA</t>
  </si>
  <si>
    <t>LTM EBIT</t>
  </si>
  <si>
    <t>LTM EPS</t>
  </si>
  <si>
    <t>Valuation summary</t>
  </si>
  <si>
    <t>Ranges feed the football-field chart; DCF range = inner 3x3 of the sensitivity grid.</t>
  </si>
  <si>
    <t>Method</t>
  </si>
  <si>
    <t>Low</t>
  </si>
  <si>
    <t>High</t>
  </si>
  <si>
    <t>Range</t>
  </si>
  <si>
    <t>52-week range</t>
  </si>
  <si>
    <t>DCF (WACC ±0.5%, g ±0.25%)</t>
  </si>
  <si>
    <t>EV/EBITDA (peer 25th–75th pct)</t>
  </si>
  <si>
    <t>EV/EBIT (peer 25th–75th pct)</t>
  </si>
  <si>
    <t>P/E (peer 25th–75th pct)</t>
  </si>
  <si>
    <t>Model integrity checks</t>
  </si>
  <si>
    <t>Every check must read TRUE. A FALSE means an input or formula has been broken.</t>
  </si>
  <si>
    <t>Check</t>
  </si>
  <si>
    <t>Result</t>
  </si>
  <si>
    <t>What it protects against</t>
  </si>
  <si>
    <t>WACC exceeds terminal growth</t>
  </si>
  <si>
    <t>A perpetuity needs WACC &gt; g</t>
  </si>
  <si>
    <t>Enterprise value = PV of FCF + PV of terminal value</t>
  </si>
  <si>
    <t>Broken bridge formulas</t>
  </si>
  <si>
    <t>Equity value = EV - net debt - minorities</t>
  </si>
  <si>
    <t>Sign errors in the bridge</t>
  </si>
  <si>
    <t>Sensitivity centre equals the DCF fair value</t>
  </si>
  <si>
    <t>Sensitivity grid out of sync with the model</t>
  </si>
  <si>
    <t>Base scenario reproduces the DCF fair value</t>
  </si>
  <si>
    <t>Scenario blocks drifting from the forecast</t>
  </si>
  <si>
    <t>Forecast starts from the last reported revenue</t>
  </si>
  <si>
    <t>Stale links</t>
  </si>
  <si>
    <t>Capital structure weights sum to 100%</t>
  </si>
  <si>
    <t>WACC weights</t>
  </si>
  <si>
    <t>Scenario probabilities sum to 100%</t>
  </si>
  <si>
    <t>Probability-weighted value</t>
  </si>
  <si>
    <t>Share price, shares and FX are positive</t>
  </si>
  <si>
    <t>Missing market data</t>
  </si>
  <si>
    <t>Terminal value below 85% of enterprise value</t>
  </si>
  <si>
    <t>Valuation resting almost entirely on the perpetuity</t>
  </si>
  <si>
    <t>No error values in Forecast, DCF or Scenarios</t>
  </si>
  <si>
    <t>#REF!, #DIV/0! and friends</t>
  </si>
  <si>
    <t>Overall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</si>
</sst>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;\(#,##0.00\);&quot;-&quot;"/>
    <numFmt numFmtId="165" formatCode="0.0000"/>
    <numFmt numFmtId="166" formatCode="#,##0.0;\(#,##0.0\);&quot;-&quot;"/>
    <numFmt numFmtId="167" formatCode="#,##0;\(#,##0\);&quot;-&quot;"/>
    <numFmt numFmtId="168" formatCode="0.0%"/>
    <numFmt numFmtId="169" formatCode="0.0&quot;x&quot;"/>
    <numFmt numFmtId="170" formatCode="0.000"/>
  </numFmts>
  <fonts count="12" x14ac:knownFonts="1">
    <font>
      <sz val="11"/>
      <color theme="1"/>
      <name val="Calibri"/>
      <family val="2"/>
      <scheme val="minor"/>
    </font>
    <font>
      <b/>
      <sz val="14"/>
      <color rgb="FF003255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9"/>
      <color rgb="FF000000"/>
      <name val="Arial"/>
    </font>
    <font>
      <sz val="9"/>
      <color rgb="FF0000FF"/>
      <name val="Arial"/>
    </font>
    <font>
      <b/>
      <sz val="9"/>
      <color rgb="FF000000"/>
      <name val="Arial"/>
    </font>
    <font>
      <i/>
      <sz val="9"/>
      <color rgb="FF000000"/>
      <name val="Arial"/>
    </font>
    <font>
      <sz val="9"/>
      <color rgb="FF008000"/>
      <name val="Arial"/>
    </font>
    <font>
      <i/>
      <sz val="9"/>
      <color rgb="FF008000"/>
      <name val="Arial"/>
    </font>
    <font>
      <b/>
      <sz val="9"/>
      <color rgb="FF008000"/>
      <name val="Arial"/>
    </font>
    <font>
      <b/>
      <sz val="9"/>
      <color rgb="FF003255"/>
      <name val="Arial"/>
    </font>
  </fonts>
  <fills count="5">
    <fill>
      <patternFill patternType="none"/>
    </fill>
    <fill>
      <patternFill patternType="gray125"/>
    </fill>
    <fill>
      <patternFill patternType="solid">
        <fgColor rgb="FF003255"/>
      </patternFill>
    </fill>
    <fill>
      <patternFill patternType="solid">
        <fgColor rgb="FFFFFF00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6" fillId="0" borderId="0" xfId="0" applyFont="1"/>
    <xf numFmtId="164" fontId="8" fillId="0" borderId="0" xfId="0" applyNumberFormat="1" applyFont="1"/>
    <xf numFmtId="168" fontId="8" fillId="0" borderId="0" xfId="0" applyNumberFormat="1" applyFont="1"/>
    <xf numFmtId="0" fontId="8" fillId="0" borderId="0" xfId="0" applyFont="1"/>
    <xf numFmtId="10" fontId="8" fillId="0" borderId="0" xfId="0" applyNumberFormat="1" applyFont="1"/>
    <xf numFmtId="169" fontId="8" fillId="0" borderId="0" xfId="0" applyNumberFormat="1" applyFont="1"/>
    <xf numFmtId="0" fontId="11" fillId="0" borderId="0" xfId="0" applyFont="1"/>
    <xf numFmtId="0" fontId="5" fillId="0" borderId="0" xfId="0" applyFont="1"/>
    <xf numFmtId="0" fontId="4" fillId="0" borderId="0" xfId="0" applyFont="1"/>
    <xf numFmtId="0" fontId="4" fillId="3" borderId="0" xfId="0" applyFont="1" applyFill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164" fontId="5" fillId="3" borderId="0" xfId="0" applyNumberFormat="1" applyFont="1" applyFill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  <xf numFmtId="168" fontId="5" fillId="0" borderId="0" xfId="0" applyNumberFormat="1" applyFont="1"/>
    <xf numFmtId="10" fontId="5" fillId="3" borderId="0" xfId="0" applyNumberFormat="1" applyFont="1" applyFill="1"/>
    <xf numFmtId="10" fontId="5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168" fontId="5" fillId="3" borderId="0" xfId="0" applyNumberFormat="1" applyFont="1" applyFill="1"/>
    <xf numFmtId="0" fontId="7" fillId="0" borderId="0" xfId="0" applyFont="1"/>
    <xf numFmtId="168" fontId="7" fillId="0" borderId="0" xfId="0" applyNumberFormat="1" applyFont="1"/>
    <xf numFmtId="167" fontId="6" fillId="0" borderId="0" xfId="0" applyNumberFormat="1" applyFont="1"/>
    <xf numFmtId="167" fontId="4" fillId="0" borderId="0" xfId="0" applyNumberFormat="1" applyFont="1"/>
    <xf numFmtId="169" fontId="4" fillId="0" borderId="0" xfId="0" applyNumberFormat="1" applyFont="1"/>
    <xf numFmtId="168" fontId="9" fillId="0" borderId="0" xfId="0" applyNumberFormat="1" applyFont="1"/>
    <xf numFmtId="167" fontId="8" fillId="0" borderId="0" xfId="0" applyNumberFormat="1" applyFont="1"/>
    <xf numFmtId="10" fontId="6" fillId="0" borderId="0" xfId="0" applyNumberFormat="1" applyFont="1"/>
    <xf numFmtId="10" fontId="4" fillId="0" borderId="0" xfId="0" applyNumberFormat="1" applyFont="1"/>
    <xf numFmtId="168" fontId="4" fillId="0" borderId="0" xfId="0" applyNumberFormat="1" applyFont="1"/>
    <xf numFmtId="167" fontId="10" fillId="0" borderId="0" xfId="0" applyNumberFormat="1" applyFont="1"/>
    <xf numFmtId="166" fontId="4" fillId="0" borderId="0" xfId="0" applyNumberFormat="1" applyFont="1"/>
    <xf numFmtId="170" fontId="4" fillId="0" borderId="0" xfId="0" applyNumberFormat="1" applyFont="1"/>
    <xf numFmtId="166" fontId="8" fillId="0" borderId="0" xfId="0" applyNumberFormat="1" applyFont="1"/>
    <xf numFmtId="164" fontId="6" fillId="3" borderId="0" xfId="0" applyNumberFormat="1" applyFont="1" applyFill="1"/>
    <xf numFmtId="168" fontId="6" fillId="0" borderId="0" xfId="0" applyNumberFormat="1" applyFont="1"/>
    <xf numFmtId="164" fontId="4" fillId="0" borderId="0" xfId="0" applyNumberFormat="1" applyFont="1"/>
    <xf numFmtId="10" fontId="6" fillId="4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6" fillId="3" borderId="0" xfId="0" applyNumberFormat="1" applyFont="1" applyFill="1" applyAlignment="1">
      <alignment horizontal="center" vertical="center"/>
    </xf>
    <xf numFmtId="164" fontId="6" fillId="0" borderId="0" xfId="0" applyNumberFormat="1" applyFont="1"/>
    <xf numFmtId="0" fontId="10" fillId="0" borderId="0" xfId="0" applyFont="1" applyAlignment="1">
      <alignment horizontal="center" vertical="center"/>
    </xf>
    <xf numFmtId="169" fontId="5" fillId="0" borderId="0" xfId="0" applyNumberFormat="1" applyFont="1"/>
    <xf numFmtId="168" fontId="6" fillId="0" borderId="1" xfId="0" applyNumberFormat="1" applyFont="1" applyBorder="1"/>
    <xf numFmtId="169" fontId="6" fillId="0" borderId="1" xfId="0" applyNumberFormat="1" applyFont="1" applyBorder="1"/>
    <xf numFmtId="169" fontId="6" fillId="0" borderId="0" xfId="0" applyNumberFormat="1" applyFont="1"/>
    <xf numFmtId="164" fontId="8" fillId="3" borderId="0" xfId="0" applyNumberFormat="1" applyFont="1" applyFill="1"/>
    <xf numFmtId="0" fontId="10" fillId="0" borderId="0" xfId="0" applyFont="1"/>
    <xf numFmtId="0" fontId="6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10"/>
  <c:chart>
    <c:title>
      <c:tx>
        <c:rich>
          <a:bodyPr/>
          <a:lstStyle/>
          <a:p>
            <a:pPr>
              <a:defRPr/>
            </a:pPr>
            <a:r>
              <a:t>Football field (value per share)</a:t>
            </a:r>
          </a:p>
        </c:rich>
      </c:tx>
      <c:overlay val="1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'Football field'!$B$4</c:f>
              <c:strCache>
                <c:ptCount val="1"/>
                <c:pt idx="0">
                  <c:v>Low</c:v>
                </c:pt>
              </c:strCache>
            </c:strRef>
          </c:tx>
          <c:spPr>
            <a:noFill/>
            <a:ln>
              <a:noFill/>
              <a:prstDash val="solid"/>
            </a:ln>
          </c:spPr>
          <c:invertIfNegative val="1"/>
          <c:cat>
            <c:strRef>
              <c:f>'Football field'!$A$5:$A$9</c:f>
              <c:strCache>
                <c:ptCount val="5"/>
                <c:pt idx="0">
                  <c:v>52-week range</c:v>
                </c:pt>
                <c:pt idx="1">
                  <c:v>DCF (WACC ±0.5%, g ±0.25%)</c:v>
                </c:pt>
                <c:pt idx="2">
                  <c:v>EV/EBITDA (peer 25th–75th pct)</c:v>
                </c:pt>
                <c:pt idx="3">
                  <c:v>EV/EBIT (peer 25th–75th pct)</c:v>
                </c:pt>
                <c:pt idx="4">
                  <c:v>P/E (peer 25th–75th pct)</c:v>
                </c:pt>
              </c:strCache>
            </c:strRef>
          </c:cat>
          <c:val>
            <c:numRef>
              <c:f>'Football field'!$B$5:$B$9</c:f>
              <c:numCache>
                <c:formatCode>#,##0.00;\(#,##0.00\);"-"</c:formatCode>
                <c:ptCount val="5"/>
                <c:pt idx="0">
                  <c:v>112</c:v>
                </c:pt>
                <c:pt idx="1">
                  <c:v>112.18979017657526</c:v>
                </c:pt>
                <c:pt idx="2">
                  <c:v>82.781109499011663</c:v>
                </c:pt>
                <c:pt idx="3">
                  <c:v>86.761242532191645</c:v>
                </c:pt>
                <c:pt idx="4">
                  <c:v>83.867744700000003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74-4CC3-AF40-599560803D34}"/>
            </c:ext>
          </c:extLst>
        </c:ser>
        <c:ser>
          <c:idx val="1"/>
          <c:order val="1"/>
          <c:tx>
            <c:strRef>
              <c:f>'Football field'!$D$4</c:f>
              <c:strCache>
                <c:ptCount val="1"/>
                <c:pt idx="0">
                  <c:v>Range</c:v>
                </c:pt>
              </c:strCache>
            </c:strRef>
          </c:tx>
          <c:spPr>
            <a:solidFill>
              <a:srgbClr val="003255"/>
            </a:solidFill>
            <a:ln>
              <a:prstDash val="solid"/>
            </a:ln>
          </c:spPr>
          <c:invertIfNegative val="1"/>
          <c:cat>
            <c:strRef>
              <c:f>'Football field'!$A$5:$A$9</c:f>
              <c:strCache>
                <c:ptCount val="5"/>
                <c:pt idx="0">
                  <c:v>52-week range</c:v>
                </c:pt>
                <c:pt idx="1">
                  <c:v>DCF (WACC ±0.5%, g ±0.25%)</c:v>
                </c:pt>
                <c:pt idx="2">
                  <c:v>EV/EBITDA (peer 25th–75th pct)</c:v>
                </c:pt>
                <c:pt idx="3">
                  <c:v>EV/EBIT (peer 25th–75th pct)</c:v>
                </c:pt>
                <c:pt idx="4">
                  <c:v>P/E (peer 25th–75th pct)</c:v>
                </c:pt>
              </c:strCache>
            </c:strRef>
          </c:cat>
          <c:val>
            <c:numRef>
              <c:f>'Football field'!$D$5:$D$9</c:f>
              <c:numCache>
                <c:formatCode>#,##0.00;\(#,##0.00\);"-"</c:formatCode>
                <c:ptCount val="5"/>
                <c:pt idx="0">
                  <c:v>42.599999999999994</c:v>
                </c:pt>
                <c:pt idx="1">
                  <c:v>32.821585365856095</c:v>
                </c:pt>
                <c:pt idx="2">
                  <c:v>38.115190999336562</c:v>
                </c:pt>
                <c:pt idx="3">
                  <c:v>26.739720359858367</c:v>
                </c:pt>
                <c:pt idx="4">
                  <c:v>37.197616079999975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EC74-4CC3-AF40-599560803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.00;\(#,##0.00\)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abSelected="1" workbookViewId="0"/>
  </sheetViews>
  <sheetFormatPr defaultRowHeight="14.5" x14ac:dyDescent="0.35"/>
  <cols>
    <col min="1" max="1" width="30" customWidth="1"/>
    <col min="2" max="2" width="18" customWidth="1"/>
    <col min="3" max="3" width="60" customWidth="1"/>
  </cols>
  <sheetData>
    <row r="1" spans="1:2" ht="18" x14ac:dyDescent="0.4">
      <c r="A1" s="1" t="s">
        <v>0</v>
      </c>
    </row>
    <row r="2" spans="1:2" x14ac:dyDescent="0.35">
      <c r="A2" s="2" t="s">
        <v>1</v>
      </c>
    </row>
    <row r="4" spans="1:2" x14ac:dyDescent="0.35">
      <c r="A4" s="3" t="s">
        <v>2</v>
      </c>
      <c r="B4" s="4">
        <f>Inputs!$B$5</f>
        <v>118.8</v>
      </c>
    </row>
    <row r="5" spans="1:2" x14ac:dyDescent="0.35">
      <c r="A5" s="3" t="s">
        <v>3</v>
      </c>
      <c r="B5" s="4">
        <f>DCF!B21</f>
        <v>126.74135132201357</v>
      </c>
    </row>
    <row r="6" spans="1:2" x14ac:dyDescent="0.35">
      <c r="A6" s="3" t="s">
        <v>4</v>
      </c>
      <c r="B6" s="4">
        <f>Scenarios!$I$8</f>
        <v>130.91670532206183</v>
      </c>
    </row>
    <row r="7" spans="1:2" x14ac:dyDescent="0.35">
      <c r="A7" s="3" t="s">
        <v>5</v>
      </c>
      <c r="B7" s="4">
        <f>DCF!B30</f>
        <v>130</v>
      </c>
    </row>
    <row r="8" spans="1:2" x14ac:dyDescent="0.35">
      <c r="A8" s="3" t="s">
        <v>6</v>
      </c>
      <c r="B8" s="5">
        <f>DCF!B31</f>
        <v>9.4276094276094291E-2</v>
      </c>
    </row>
    <row r="9" spans="1:2" x14ac:dyDescent="0.35">
      <c r="A9" s="3" t="s">
        <v>7</v>
      </c>
      <c r="B9" s="5">
        <f>DCF!B32</f>
        <v>0.15740746643017389</v>
      </c>
    </row>
    <row r="10" spans="1:2" x14ac:dyDescent="0.35">
      <c r="A10" s="3" t="s">
        <v>8</v>
      </c>
      <c r="B10" s="6" t="str">
        <f>DCF!B33</f>
        <v>BUY</v>
      </c>
    </row>
    <row r="11" spans="1:2" x14ac:dyDescent="0.35">
      <c r="A11" s="3" t="s">
        <v>9</v>
      </c>
      <c r="B11" s="6" t="str">
        <f>Checks!$B$17</f>
        <v>ALL OK</v>
      </c>
    </row>
    <row r="12" spans="1:2" x14ac:dyDescent="0.35">
      <c r="A12" s="3" t="s">
        <v>10</v>
      </c>
      <c r="B12" s="7">
        <f>WACC!$B$17</f>
        <v>8.5945104064214434E-2</v>
      </c>
    </row>
    <row r="13" spans="1:2" x14ac:dyDescent="0.35">
      <c r="A13" s="3" t="s">
        <v>11</v>
      </c>
      <c r="B13" s="7">
        <f>Inputs!$B$11</f>
        <v>0.02</v>
      </c>
    </row>
    <row r="14" spans="1:2" x14ac:dyDescent="0.35">
      <c r="A14" s="3" t="s">
        <v>12</v>
      </c>
      <c r="B14" s="8">
        <f>Peers!E22</f>
        <v>11.447929089466596</v>
      </c>
    </row>
    <row r="15" spans="1:2" x14ac:dyDescent="0.35">
      <c r="A15" s="3" t="s">
        <v>13</v>
      </c>
      <c r="B15" s="8">
        <f>Peers!F22</f>
        <v>9.8113677989749704</v>
      </c>
    </row>
    <row r="18" spans="1:1" x14ac:dyDescent="0.35">
      <c r="A18" s="9" t="s">
        <v>14</v>
      </c>
    </row>
    <row r="19" spans="1:1" x14ac:dyDescent="0.35">
      <c r="A19" s="10" t="s">
        <v>15</v>
      </c>
    </row>
    <row r="20" spans="1:1" x14ac:dyDescent="0.35">
      <c r="A20" s="11" t="s">
        <v>16</v>
      </c>
    </row>
    <row r="21" spans="1:1" x14ac:dyDescent="0.35">
      <c r="A21" s="6" t="s">
        <v>17</v>
      </c>
    </row>
    <row r="22" spans="1:1" x14ac:dyDescent="0.35">
      <c r="A22" s="12" t="s">
        <v>18</v>
      </c>
    </row>
    <row r="24" spans="1:1" x14ac:dyDescent="0.35">
      <c r="A24" s="2" t="s">
        <v>19</v>
      </c>
    </row>
    <row r="25" spans="1:1" x14ac:dyDescent="0.35">
      <c r="A25" s="2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9" width="14" customWidth="1"/>
  </cols>
  <sheetData>
    <row r="1" spans="1:3" ht="18" x14ac:dyDescent="0.4">
      <c r="A1" s="1" t="s">
        <v>21</v>
      </c>
    </row>
    <row r="2" spans="1:3" x14ac:dyDescent="0.35">
      <c r="A2" s="2" t="s">
        <v>22</v>
      </c>
    </row>
    <row r="4" spans="1:3" x14ac:dyDescent="0.35">
      <c r="A4" s="13" t="s">
        <v>23</v>
      </c>
      <c r="B4" s="14" t="s">
        <v>24</v>
      </c>
      <c r="C4" s="13" t="s">
        <v>25</v>
      </c>
    </row>
    <row r="5" spans="1:3" x14ac:dyDescent="0.35">
      <c r="A5" s="11" t="s">
        <v>2</v>
      </c>
      <c r="B5" s="15">
        <v>118.8</v>
      </c>
      <c r="C5" s="2" t="s">
        <v>26</v>
      </c>
    </row>
    <row r="6" spans="1:3" x14ac:dyDescent="0.35">
      <c r="A6" s="11" t="s">
        <v>27</v>
      </c>
      <c r="B6" s="16">
        <v>1</v>
      </c>
      <c r="C6" s="2" t="s">
        <v>28</v>
      </c>
    </row>
    <row r="7" spans="1:3" x14ac:dyDescent="0.35">
      <c r="A7" s="11" t="s">
        <v>29</v>
      </c>
      <c r="B7" s="17">
        <v>40.645161999999999</v>
      </c>
      <c r="C7" s="2" t="s">
        <v>30</v>
      </c>
    </row>
    <row r="8" spans="1:3" x14ac:dyDescent="0.35">
      <c r="A8" s="11" t="s">
        <v>31</v>
      </c>
      <c r="B8" s="18">
        <v>722.37199999999996</v>
      </c>
      <c r="C8" s="2" t="s">
        <v>32</v>
      </c>
    </row>
    <row r="9" spans="1:3" x14ac:dyDescent="0.35">
      <c r="A9" s="11" t="s">
        <v>33</v>
      </c>
      <c r="B9" s="18">
        <v>0</v>
      </c>
      <c r="C9" s="2" t="s">
        <v>34</v>
      </c>
    </row>
    <row r="10" spans="1:3" x14ac:dyDescent="0.35">
      <c r="A10" s="11" t="s">
        <v>35</v>
      </c>
      <c r="B10" s="19">
        <v>0.22</v>
      </c>
      <c r="C10" s="2" t="s">
        <v>36</v>
      </c>
    </row>
    <row r="11" spans="1:3" x14ac:dyDescent="0.35">
      <c r="A11" s="11" t="s">
        <v>11</v>
      </c>
      <c r="B11" s="20">
        <v>0.02</v>
      </c>
      <c r="C11" s="2" t="s">
        <v>37</v>
      </c>
    </row>
    <row r="12" spans="1:3" x14ac:dyDescent="0.35">
      <c r="A12" s="11" t="s">
        <v>38</v>
      </c>
      <c r="B12" s="21">
        <v>3.7999999999999999E-2</v>
      </c>
      <c r="C12" s="2" t="s">
        <v>37</v>
      </c>
    </row>
    <row r="13" spans="1:3" x14ac:dyDescent="0.35">
      <c r="A13" s="11" t="s">
        <v>39</v>
      </c>
      <c r="B13" s="21">
        <v>0.05</v>
      </c>
      <c r="C13" s="2" t="s">
        <v>37</v>
      </c>
    </row>
    <row r="14" spans="1:3" x14ac:dyDescent="0.35">
      <c r="A14" s="11" t="s">
        <v>40</v>
      </c>
      <c r="B14" s="15">
        <v>0.70587</v>
      </c>
      <c r="C14" s="2" t="s">
        <v>41</v>
      </c>
    </row>
    <row r="15" spans="1:3" x14ac:dyDescent="0.35">
      <c r="A15" s="11" t="s">
        <v>42</v>
      </c>
      <c r="B15" s="21">
        <v>1.4999999999999999E-2</v>
      </c>
      <c r="C15" s="2" t="s">
        <v>43</v>
      </c>
    </row>
    <row r="16" spans="1:3" x14ac:dyDescent="0.35">
      <c r="A16" s="11" t="s">
        <v>44</v>
      </c>
      <c r="B16" s="21">
        <v>9.0060788771374925E-2</v>
      </c>
      <c r="C16" s="2" t="s">
        <v>45</v>
      </c>
    </row>
    <row r="17" spans="1:7" x14ac:dyDescent="0.35">
      <c r="A17" s="11" t="s">
        <v>46</v>
      </c>
      <c r="B17" s="18">
        <v>722.37200000000007</v>
      </c>
      <c r="C17" s="2" t="s">
        <v>34</v>
      </c>
    </row>
    <row r="18" spans="1:7" x14ac:dyDescent="0.35">
      <c r="A18" s="11" t="s">
        <v>47</v>
      </c>
      <c r="B18" s="22">
        <v>0</v>
      </c>
      <c r="C18" s="2" t="s">
        <v>37</v>
      </c>
    </row>
    <row r="19" spans="1:7" x14ac:dyDescent="0.35">
      <c r="A19" s="11" t="s">
        <v>48</v>
      </c>
      <c r="B19" s="22">
        <v>0</v>
      </c>
      <c r="C19" s="2" t="s">
        <v>49</v>
      </c>
    </row>
    <row r="20" spans="1:7" x14ac:dyDescent="0.35">
      <c r="A20" s="11" t="s">
        <v>50</v>
      </c>
      <c r="B20" s="21">
        <v>0.1059451040642144</v>
      </c>
      <c r="C20" s="2" t="s">
        <v>51</v>
      </c>
    </row>
    <row r="21" spans="1:7" x14ac:dyDescent="0.35">
      <c r="A21" s="11" t="s">
        <v>52</v>
      </c>
      <c r="B21" s="23">
        <v>7.50000701190464</v>
      </c>
      <c r="C21" s="2" t="s">
        <v>53</v>
      </c>
    </row>
    <row r="22" spans="1:7" x14ac:dyDescent="0.35">
      <c r="A22" s="11" t="s">
        <v>54</v>
      </c>
      <c r="B22" s="22">
        <v>12</v>
      </c>
      <c r="C22" s="2" t="s">
        <v>55</v>
      </c>
    </row>
    <row r="23" spans="1:7" x14ac:dyDescent="0.35">
      <c r="A23" s="11" t="s">
        <v>56</v>
      </c>
      <c r="B23" s="23">
        <v>1</v>
      </c>
      <c r="C23" s="2" t="s">
        <v>37</v>
      </c>
    </row>
    <row r="24" spans="1:7" x14ac:dyDescent="0.35">
      <c r="A24" s="11" t="s">
        <v>57</v>
      </c>
      <c r="B24" s="19">
        <v>1</v>
      </c>
      <c r="C24" s="2" t="s">
        <v>58</v>
      </c>
    </row>
    <row r="25" spans="1:7" x14ac:dyDescent="0.35">
      <c r="A25" s="11" t="s">
        <v>59</v>
      </c>
      <c r="B25" s="23">
        <v>99.275988191116866</v>
      </c>
      <c r="C25" s="2" t="s">
        <v>60</v>
      </c>
    </row>
    <row r="26" spans="1:7" x14ac:dyDescent="0.35">
      <c r="A26" s="11" t="s">
        <v>61</v>
      </c>
      <c r="B26" s="19">
        <v>0.15</v>
      </c>
      <c r="C26" s="2" t="s">
        <v>37</v>
      </c>
    </row>
    <row r="27" spans="1:7" x14ac:dyDescent="0.35">
      <c r="A27" s="11" t="s">
        <v>62</v>
      </c>
      <c r="B27" s="19">
        <v>-0.1</v>
      </c>
      <c r="C27" s="2" t="s">
        <v>37</v>
      </c>
    </row>
    <row r="30" spans="1:7" x14ac:dyDescent="0.35">
      <c r="A30" s="13" t="s">
        <v>63</v>
      </c>
      <c r="B30" s="14" t="s">
        <v>64</v>
      </c>
      <c r="C30" s="14" t="s">
        <v>65</v>
      </c>
      <c r="D30" s="14" t="s">
        <v>66</v>
      </c>
      <c r="E30" s="14" t="s">
        <v>67</v>
      </c>
      <c r="F30" s="14" t="s">
        <v>68</v>
      </c>
      <c r="G30" s="14" t="s">
        <v>69</v>
      </c>
    </row>
    <row r="31" spans="1:7" x14ac:dyDescent="0.35">
      <c r="A31" s="11" t="s">
        <v>70</v>
      </c>
      <c r="B31" s="24">
        <v>7.2399995999999994E-2</v>
      </c>
      <c r="C31" s="24">
        <v>6.0500002999999997E-2</v>
      </c>
      <c r="D31" s="24">
        <v>5.0375002249999988E-2</v>
      </c>
      <c r="E31" s="24">
        <v>4.02500015E-2</v>
      </c>
      <c r="F31" s="24">
        <v>3.0125000749999999E-2</v>
      </c>
      <c r="G31" s="24">
        <v>0.02</v>
      </c>
    </row>
    <row r="32" spans="1:7" x14ac:dyDescent="0.35">
      <c r="A32" s="11" t="s">
        <v>71</v>
      </c>
      <c r="B32" s="24">
        <v>0.12802127279350331</v>
      </c>
      <c r="C32" s="24">
        <v>0.1331158836373742</v>
      </c>
      <c r="D32" s="24">
        <v>0.13821049448124501</v>
      </c>
      <c r="E32" s="24">
        <v>0.14330510532511581</v>
      </c>
      <c r="F32" s="24">
        <v>0.1483997161689867</v>
      </c>
      <c r="G32" s="24">
        <v>0.15349432701285751</v>
      </c>
    </row>
    <row r="33" spans="1:7" x14ac:dyDescent="0.35">
      <c r="A33" s="11" t="s">
        <v>72</v>
      </c>
      <c r="B33" s="24">
        <v>3.4113082716595633E-2</v>
      </c>
      <c r="C33" s="24">
        <v>3.4113082716595633E-2</v>
      </c>
      <c r="D33" s="24">
        <v>3.4113082716595633E-2</v>
      </c>
      <c r="E33" s="24">
        <v>3.4113082716595633E-2</v>
      </c>
      <c r="F33" s="24">
        <v>3.4113082716595633E-2</v>
      </c>
      <c r="G33" s="24">
        <v>3.4113082716595633E-2</v>
      </c>
    </row>
    <row r="34" spans="1:7" x14ac:dyDescent="0.35">
      <c r="A34" s="11" t="s">
        <v>73</v>
      </c>
      <c r="B34" s="24">
        <v>5.5799457283303433E-2</v>
      </c>
      <c r="C34" s="24">
        <v>5.1803313197127818E-2</v>
      </c>
      <c r="D34" s="24">
        <v>4.7807169110952223E-2</v>
      </c>
      <c r="E34" s="24">
        <v>4.3811025024776622E-2</v>
      </c>
      <c r="F34" s="24">
        <v>3.981488093860102E-2</v>
      </c>
      <c r="G34" s="24">
        <v>3.5818736852425419E-2</v>
      </c>
    </row>
    <row r="35" spans="1:7" x14ac:dyDescent="0.35">
      <c r="A35" s="11" t="s">
        <v>74</v>
      </c>
      <c r="B35" s="24">
        <v>3.8989408713458788E-2</v>
      </c>
      <c r="C35" s="24">
        <v>3.8989408713458788E-2</v>
      </c>
      <c r="D35" s="24">
        <v>3.8989408713458788E-2</v>
      </c>
      <c r="E35" s="24">
        <v>3.8989408713458788E-2</v>
      </c>
      <c r="F35" s="24">
        <v>3.8989408713458788E-2</v>
      </c>
      <c r="G35" s="24">
        <v>3.8989408713458788E-2</v>
      </c>
    </row>
    <row r="37" spans="1:7" x14ac:dyDescent="0.35">
      <c r="A37" s="2" t="s">
        <v>75</v>
      </c>
    </row>
    <row r="38" spans="1:7" x14ac:dyDescent="0.35">
      <c r="A38" s="2" t="s">
        <v>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5" width="12" customWidth="1"/>
  </cols>
  <sheetData>
    <row r="1" spans="1:5" ht="18" x14ac:dyDescent="0.4">
      <c r="A1" s="1" t="s">
        <v>77</v>
      </c>
    </row>
    <row r="2" spans="1:5" x14ac:dyDescent="0.35">
      <c r="A2" s="2" t="s">
        <v>78</v>
      </c>
    </row>
    <row r="4" spans="1:5" x14ac:dyDescent="0.35">
      <c r="A4" s="13" t="s">
        <v>79</v>
      </c>
      <c r="B4" s="14" t="s">
        <v>80</v>
      </c>
      <c r="C4" s="14" t="s">
        <v>81</v>
      </c>
      <c r="D4" s="14" t="s">
        <v>82</v>
      </c>
      <c r="E4" s="14" t="s">
        <v>83</v>
      </c>
    </row>
    <row r="5" spans="1:5" x14ac:dyDescent="0.35">
      <c r="A5" s="3" t="s">
        <v>84</v>
      </c>
      <c r="B5" s="18">
        <v>3177.991</v>
      </c>
      <c r="C5" s="18">
        <v>3413.5949999999998</v>
      </c>
      <c r="D5" s="18">
        <v>3784.944</v>
      </c>
      <c r="E5" s="18">
        <v>3944.569</v>
      </c>
    </row>
    <row r="6" spans="1:5" x14ac:dyDescent="0.35">
      <c r="A6" s="25" t="s">
        <v>85</v>
      </c>
      <c r="B6" s="26"/>
      <c r="C6" s="26">
        <f>IF(B5=0,"",C5/B5-1)</f>
        <v>7.4136144501353085E-2</v>
      </c>
      <c r="D6" s="26">
        <f>IF(C5=0,"",D5/C5-1)</f>
        <v>0.10878531284466963</v>
      </c>
      <c r="E6" s="26">
        <f>IF(D5=0,"",E5/D5-1)</f>
        <v>4.2173675488990092E-2</v>
      </c>
    </row>
    <row r="7" spans="1:5" x14ac:dyDescent="0.35">
      <c r="A7" s="11" t="s">
        <v>86</v>
      </c>
      <c r="B7" s="18">
        <v>713.84199999999998</v>
      </c>
      <c r="C7" s="18">
        <v>884.17200000000003</v>
      </c>
      <c r="D7" s="18">
        <v>1065.3019999999999</v>
      </c>
      <c r="E7" s="18">
        <v>931.92700000000002</v>
      </c>
    </row>
    <row r="8" spans="1:5" x14ac:dyDescent="0.35">
      <c r="A8" s="11" t="s">
        <v>87</v>
      </c>
      <c r="B8" s="18">
        <v>298.53032499999989</v>
      </c>
      <c r="C8" s="18">
        <v>338.25101999999993</v>
      </c>
      <c r="D8" s="18">
        <v>392.97939999999988</v>
      </c>
      <c r="E8" s="18">
        <v>447.03429999999997</v>
      </c>
    </row>
    <row r="9" spans="1:5" x14ac:dyDescent="0.35">
      <c r="A9" s="3" t="s">
        <v>88</v>
      </c>
      <c r="B9" s="27">
        <f>B7-B8</f>
        <v>415.31167500000009</v>
      </c>
      <c r="C9" s="27">
        <f>C7-C8</f>
        <v>545.9209800000001</v>
      </c>
      <c r="D9" s="27">
        <f>D7-D8</f>
        <v>672.32259999999997</v>
      </c>
      <c r="E9" s="27">
        <f>E7-E8</f>
        <v>484.89270000000005</v>
      </c>
    </row>
    <row r="10" spans="1:5" x14ac:dyDescent="0.35">
      <c r="A10" s="25" t="s">
        <v>71</v>
      </c>
      <c r="B10" s="26">
        <f>IF(B5=0,"",B9/B5)</f>
        <v>0.13068371653664221</v>
      </c>
      <c r="C10" s="26">
        <f>IF(C5=0,"",C9/C5)</f>
        <v>0.15992552719347203</v>
      </c>
      <c r="D10" s="26">
        <f>IF(D5=0,"",D9/D5)</f>
        <v>0.17763079189546793</v>
      </c>
      <c r="E10" s="26">
        <f>IF(E5=0,"",E9/E5)</f>
        <v>0.12292666194963253</v>
      </c>
    </row>
    <row r="11" spans="1:5" x14ac:dyDescent="0.35">
      <c r="A11" s="11" t="s">
        <v>89</v>
      </c>
      <c r="B11" s="18">
        <v>348.29599999999999</v>
      </c>
      <c r="C11" s="18">
        <v>404.13600000000002</v>
      </c>
      <c r="D11" s="18">
        <v>471.66199999999998</v>
      </c>
      <c r="E11" s="18">
        <v>530.25400000000002</v>
      </c>
    </row>
    <row r="12" spans="1:5" x14ac:dyDescent="0.35">
      <c r="A12" s="11" t="s">
        <v>90</v>
      </c>
      <c r="B12" s="18">
        <v>263.34999999999991</v>
      </c>
      <c r="C12" s="18">
        <v>296.24999999999989</v>
      </c>
      <c r="D12" s="18">
        <v>340.53999999999991</v>
      </c>
      <c r="E12" s="18">
        <v>387.88900000000012</v>
      </c>
    </row>
    <row r="13" spans="1:5" x14ac:dyDescent="0.35">
      <c r="A13" s="11" t="s">
        <v>91</v>
      </c>
      <c r="B13" s="28">
        <f>MAX(B11-B12,0)</f>
        <v>84.946000000000083</v>
      </c>
      <c r="C13" s="28">
        <f>MAX(C11-C12,0)</f>
        <v>107.88600000000014</v>
      </c>
      <c r="D13" s="28">
        <f>MAX(D11-D12,0)</f>
        <v>131.12200000000007</v>
      </c>
      <c r="E13" s="28">
        <f>MAX(E11-E12,0)</f>
        <v>142.3649999999999</v>
      </c>
    </row>
    <row r="14" spans="1:5" x14ac:dyDescent="0.35">
      <c r="A14" s="3" t="s">
        <v>92</v>
      </c>
      <c r="B14" s="27">
        <f>B9-B13</f>
        <v>330.36567500000001</v>
      </c>
      <c r="C14" s="27">
        <f>C9-C13</f>
        <v>438.03497999999996</v>
      </c>
      <c r="D14" s="27">
        <f>D9-D13</f>
        <v>541.20059999999989</v>
      </c>
      <c r="E14" s="27">
        <f>E9-E13</f>
        <v>342.52770000000015</v>
      </c>
    </row>
    <row r="15" spans="1:5" x14ac:dyDescent="0.35">
      <c r="A15" s="25" t="s">
        <v>93</v>
      </c>
      <c r="B15" s="26">
        <f>IF(B5=0,"",B14/B5)</f>
        <v>0.10395425128642592</v>
      </c>
      <c r="C15" s="26">
        <f>IF(C5=0,"",C14/C5)</f>
        <v>0.12832072346016443</v>
      </c>
      <c r="D15" s="26">
        <f>IF(D5=0,"",D14/D5)</f>
        <v>0.14298774301548448</v>
      </c>
      <c r="E15" s="26">
        <f>IF(E5=0,"",E14/E5)</f>
        <v>8.6835266413136686E-2</v>
      </c>
    </row>
    <row r="16" spans="1:5" x14ac:dyDescent="0.35">
      <c r="A16" s="25" t="s">
        <v>94</v>
      </c>
      <c r="B16" s="19">
        <v>0.2184552478426651</v>
      </c>
      <c r="C16" s="19">
        <v>0.22035982590031</v>
      </c>
      <c r="D16" s="19">
        <v>0.19985586641747749</v>
      </c>
      <c r="E16" s="19">
        <v>0.20361010077850611</v>
      </c>
    </row>
    <row r="17" spans="1:5" x14ac:dyDescent="0.35">
      <c r="A17" s="3" t="s">
        <v>95</v>
      </c>
      <c r="B17" s="27">
        <f>B14*(1-B16)</f>
        <v>258.19555958916567</v>
      </c>
      <c r="C17" s="27">
        <f>C14*(1-C16)</f>
        <v>341.50966806895417</v>
      </c>
      <c r="D17" s="27">
        <f>D14*(1-D16)</f>
        <v>433.03848518134129</v>
      </c>
      <c r="E17" s="27">
        <f>E14*(1-E16)</f>
        <v>272.78560048357025</v>
      </c>
    </row>
    <row r="18" spans="1:5" x14ac:dyDescent="0.35">
      <c r="A18" s="11" t="s">
        <v>96</v>
      </c>
      <c r="B18" s="18">
        <v>-119.264</v>
      </c>
      <c r="C18" s="18">
        <v>-163.697</v>
      </c>
      <c r="D18" s="18">
        <v>-208.32599999999999</v>
      </c>
      <c r="E18" s="18">
        <v>-254.04300000000001</v>
      </c>
    </row>
    <row r="19" spans="1:5" x14ac:dyDescent="0.35">
      <c r="A19" s="11" t="s">
        <v>97</v>
      </c>
      <c r="B19" s="18">
        <v>-61.558</v>
      </c>
      <c r="C19" s="18">
        <v>155.88200000000001</v>
      </c>
      <c r="D19" s="18">
        <v>2.52</v>
      </c>
      <c r="E19" s="18">
        <v>-147.73099999999999</v>
      </c>
    </row>
    <row r="20" spans="1:5" x14ac:dyDescent="0.35">
      <c r="A20" s="3" t="s">
        <v>98</v>
      </c>
      <c r="B20" s="27">
        <f>B17+B13+B18+B19</f>
        <v>162.31955958916575</v>
      </c>
      <c r="C20" s="27">
        <f>C17+C13+C18+C19</f>
        <v>441.58066806895431</v>
      </c>
      <c r="D20" s="27">
        <f>D17+D13+D18+D19</f>
        <v>358.35448518134126</v>
      </c>
      <c r="E20" s="27">
        <f>E17+E13+E18+E19</f>
        <v>13.376600483570144</v>
      </c>
    </row>
    <row r="21" spans="1:5" x14ac:dyDescent="0.35">
      <c r="A21" s="25" t="s">
        <v>99</v>
      </c>
      <c r="B21" s="26">
        <f>IF(B5=0,"",B20/B5)</f>
        <v>5.1076154586078358E-2</v>
      </c>
      <c r="C21" s="26">
        <f>IF(C5=0,"",C20/C5)</f>
        <v>0.12935941963500483</v>
      </c>
      <c r="D21" s="26">
        <f>IF(D5=0,"",D20/D5)</f>
        <v>9.4678939815580163E-2</v>
      </c>
      <c r="E21" s="26">
        <f>IF(E5=0,"",E20/E5)</f>
        <v>3.3911437430984587E-3</v>
      </c>
    </row>
    <row r="22" spans="1:5" x14ac:dyDescent="0.35">
      <c r="A22" s="11" t="s">
        <v>100</v>
      </c>
      <c r="B22" s="18">
        <v>249.244</v>
      </c>
      <c r="C22" s="18">
        <v>313.827</v>
      </c>
      <c r="D22" s="18">
        <v>398.59100000000001</v>
      </c>
      <c r="E22" s="18">
        <v>229.24799999999999</v>
      </c>
    </row>
    <row r="23" spans="1:5" x14ac:dyDescent="0.35">
      <c r="A23" s="11" t="s">
        <v>101</v>
      </c>
      <c r="B23" s="23">
        <v>6.13</v>
      </c>
      <c r="C23" s="23">
        <v>7.72</v>
      </c>
      <c r="D23" s="23">
        <v>9.81</v>
      </c>
      <c r="E23" s="23">
        <v>5.64</v>
      </c>
    </row>
    <row r="24" spans="1:5" x14ac:dyDescent="0.35">
      <c r="A24" s="11" t="s">
        <v>102</v>
      </c>
      <c r="B24" s="18">
        <v>75.978999999999999</v>
      </c>
      <c r="C24" s="18">
        <v>225.32300000000001</v>
      </c>
      <c r="D24" s="18">
        <v>228.53399999999999</v>
      </c>
      <c r="E24" s="18">
        <v>0</v>
      </c>
    </row>
    <row r="25" spans="1:5" x14ac:dyDescent="0.35">
      <c r="A25" s="11" t="s">
        <v>103</v>
      </c>
      <c r="B25" s="18">
        <v>1333.431</v>
      </c>
      <c r="C25" s="18">
        <v>1606.588</v>
      </c>
      <c r="D25" s="18">
        <v>1737.3810000000001</v>
      </c>
      <c r="E25" s="18">
        <v>2105.3389999999999</v>
      </c>
    </row>
    <row r="26" spans="1:5" x14ac:dyDescent="0.35">
      <c r="A26" s="11" t="s">
        <v>104</v>
      </c>
      <c r="B26" s="18">
        <v>781.78499999999997</v>
      </c>
      <c r="C26" s="18">
        <v>1084.9269999999999</v>
      </c>
      <c r="D26" s="18">
        <v>1245.713</v>
      </c>
      <c r="E26" s="18">
        <v>1382.9670000000001</v>
      </c>
    </row>
    <row r="27" spans="1:5" x14ac:dyDescent="0.35">
      <c r="A27" s="11" t="s">
        <v>105</v>
      </c>
      <c r="B27" s="18">
        <v>475.66699999999997</v>
      </c>
      <c r="C27" s="18">
        <v>296.33800000000002</v>
      </c>
      <c r="D27" s="18">
        <v>263.13400000000001</v>
      </c>
      <c r="E27" s="18">
        <v>722.37199999999996</v>
      </c>
    </row>
    <row r="28" spans="1:5" x14ac:dyDescent="0.35">
      <c r="A28" s="11" t="s">
        <v>106</v>
      </c>
      <c r="B28" s="29">
        <f>IF(B9&lt;=0,"n.m.",B27/B9)</f>
        <v>1.1453253752136872</v>
      </c>
      <c r="C28" s="29">
        <f>IF(C9&lt;=0,"n.m.",C27/C9)</f>
        <v>0.54282214982835053</v>
      </c>
      <c r="D28" s="29">
        <f>IF(D9&lt;=0,"n.m.",D27/D9)</f>
        <v>0.3913805664126121</v>
      </c>
      <c r="E28" s="29">
        <f>IF(E9&lt;=0,"n.m.",E27/E9)</f>
        <v>1.4897563935278875</v>
      </c>
    </row>
    <row r="29" spans="1:5" x14ac:dyDescent="0.35">
      <c r="A29" s="11" t="s">
        <v>107</v>
      </c>
      <c r="B29" s="18">
        <v>11.453675</v>
      </c>
      <c r="C29" s="18">
        <v>35.506979999999999</v>
      </c>
      <c r="D29" s="18">
        <v>43.051600000000008</v>
      </c>
      <c r="E29" s="18">
        <v>54.668700000000001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9" width="12" customWidth="1"/>
  </cols>
  <sheetData>
    <row r="1" spans="1:9" ht="18" x14ac:dyDescent="0.4">
      <c r="A1" s="1" t="s">
        <v>108</v>
      </c>
    </row>
    <row r="2" spans="1:9" x14ac:dyDescent="0.35">
      <c r="A2" s="2" t="s">
        <v>109</v>
      </c>
    </row>
    <row r="4" spans="1:9" x14ac:dyDescent="0.35">
      <c r="A4" s="13" t="s">
        <v>79</v>
      </c>
      <c r="B4" s="14" t="s">
        <v>83</v>
      </c>
      <c r="C4" s="14" t="s">
        <v>64</v>
      </c>
      <c r="D4" s="14" t="s">
        <v>65</v>
      </c>
      <c r="E4" s="14" t="s">
        <v>66</v>
      </c>
      <c r="F4" s="14" t="s">
        <v>67</v>
      </c>
      <c r="G4" s="14" t="s">
        <v>68</v>
      </c>
      <c r="H4" s="14" t="s">
        <v>69</v>
      </c>
      <c r="I4" s="14" t="s">
        <v>110</v>
      </c>
    </row>
    <row r="5" spans="1:9" x14ac:dyDescent="0.35">
      <c r="A5" s="11" t="s">
        <v>70</v>
      </c>
      <c r="C5" s="30">
        <f>Inputs!B31</f>
        <v>7.2399995999999994E-2</v>
      </c>
      <c r="D5" s="30">
        <f>Inputs!C31</f>
        <v>6.0500002999999997E-2</v>
      </c>
      <c r="E5" s="30">
        <f>Inputs!D31</f>
        <v>5.0375002249999988E-2</v>
      </c>
      <c r="F5" s="30">
        <f>Inputs!E31</f>
        <v>4.02500015E-2</v>
      </c>
      <c r="G5" s="30">
        <f>Inputs!F31</f>
        <v>3.0125000749999999E-2</v>
      </c>
      <c r="H5" s="30">
        <f>Inputs!G31</f>
        <v>0.02</v>
      </c>
      <c r="I5" s="30">
        <f>Inputs!$B$11</f>
        <v>0.02</v>
      </c>
    </row>
    <row r="6" spans="1:9" x14ac:dyDescent="0.35">
      <c r="A6" s="3" t="s">
        <v>84</v>
      </c>
      <c r="B6" s="31">
        <f>Historicals!E5</f>
        <v>3944.569</v>
      </c>
      <c r="C6" s="27">
        <f t="shared" ref="C6:I6" si="0">B6*(1+C5)</f>
        <v>4230.1557798217236</v>
      </c>
      <c r="D6" s="27">
        <f t="shared" si="0"/>
        <v>4486.0802171914056</v>
      </c>
      <c r="E6" s="27">
        <f t="shared" si="0"/>
        <v>4712.0665182261037</v>
      </c>
      <c r="F6" s="27">
        <f t="shared" si="0"/>
        <v>4901.7272026528044</v>
      </c>
      <c r="G6" s="27">
        <f t="shared" si="0"/>
        <v>5049.3917383090156</v>
      </c>
      <c r="H6" s="27">
        <f t="shared" si="0"/>
        <v>5150.3795730751963</v>
      </c>
      <c r="I6" s="27">
        <f t="shared" si="0"/>
        <v>5253.3871645366999</v>
      </c>
    </row>
    <row r="7" spans="1:9" x14ac:dyDescent="0.35">
      <c r="A7" s="25" t="s">
        <v>71</v>
      </c>
      <c r="B7" s="26">
        <f>B8/B6</f>
        <v>0.12292666194963253</v>
      </c>
      <c r="C7" s="30">
        <f>Inputs!B32</f>
        <v>0.12802127279350331</v>
      </c>
      <c r="D7" s="30">
        <f>Inputs!C32</f>
        <v>0.1331158836373742</v>
      </c>
      <c r="E7" s="30">
        <f>Inputs!D32</f>
        <v>0.13821049448124501</v>
      </c>
      <c r="F7" s="30">
        <f>Inputs!E32</f>
        <v>0.14330510532511581</v>
      </c>
      <c r="G7" s="30">
        <f>Inputs!F32</f>
        <v>0.1483997161689867</v>
      </c>
      <c r="H7" s="30">
        <f>Inputs!G32</f>
        <v>0.15349432701285751</v>
      </c>
      <c r="I7" s="26">
        <f>H7</f>
        <v>0.15349432701285751</v>
      </c>
    </row>
    <row r="8" spans="1:9" x14ac:dyDescent="0.35">
      <c r="A8" s="3" t="s">
        <v>88</v>
      </c>
      <c r="B8" s="31">
        <f>Historicals!E9</f>
        <v>484.89270000000005</v>
      </c>
      <c r="C8" s="27">
        <f t="shared" ref="C8:I8" si="1">C6*C7</f>
        <v>541.5499270475716</v>
      </c>
      <c r="D8" s="27">
        <f t="shared" si="1"/>
        <v>597.16853217957748</v>
      </c>
      <c r="E8" s="27">
        <f t="shared" si="1"/>
        <v>651.25704351254831</v>
      </c>
      <c r="F8" s="27">
        <f t="shared" si="1"/>
        <v>702.44253305114546</v>
      </c>
      <c r="G8" s="27">
        <f t="shared" si="1"/>
        <v>749.3283007910843</v>
      </c>
      <c r="H8" s="27">
        <f t="shared" si="1"/>
        <v>790.55404642994563</v>
      </c>
      <c r="I8" s="27">
        <f t="shared" si="1"/>
        <v>806.36512735854444</v>
      </c>
    </row>
    <row r="9" spans="1:9" x14ac:dyDescent="0.35">
      <c r="A9" s="25" t="s">
        <v>72</v>
      </c>
      <c r="C9" s="30">
        <f>Inputs!B33</f>
        <v>3.4113082716595633E-2</v>
      </c>
      <c r="D9" s="30">
        <f>Inputs!C33</f>
        <v>3.4113082716595633E-2</v>
      </c>
      <c r="E9" s="30">
        <f>Inputs!D33</f>
        <v>3.4113082716595633E-2</v>
      </c>
      <c r="F9" s="30">
        <f>Inputs!E33</f>
        <v>3.4113082716595633E-2</v>
      </c>
      <c r="G9" s="30">
        <f>Inputs!F33</f>
        <v>3.4113082716595633E-2</v>
      </c>
      <c r="H9" s="30">
        <f>Inputs!G33</f>
        <v>3.4113082716595633E-2</v>
      </c>
      <c r="I9" s="26">
        <f>H9</f>
        <v>3.4113082716595633E-2</v>
      </c>
    </row>
    <row r="10" spans="1:9" x14ac:dyDescent="0.35">
      <c r="A10" s="11" t="s">
        <v>91</v>
      </c>
      <c r="B10" s="31">
        <f>Historicals!E13</f>
        <v>142.3649999999999</v>
      </c>
      <c r="C10" s="28">
        <f t="shared" ref="C10:I10" si="2">C6*C9</f>
        <v>144.30365402114356</v>
      </c>
      <c r="D10" s="28">
        <f t="shared" si="2"/>
        <v>153.03402552233374</v>
      </c>
      <c r="E10" s="28">
        <f t="shared" si="2"/>
        <v>160.74311490234786</v>
      </c>
      <c r="F10" s="28">
        <f t="shared" si="2"/>
        <v>167.21302551828205</v>
      </c>
      <c r="G10" s="28">
        <f t="shared" si="2"/>
        <v>172.25031803743005</v>
      </c>
      <c r="H10" s="28">
        <f t="shared" si="2"/>
        <v>175.69532439817868</v>
      </c>
      <c r="I10" s="28">
        <f t="shared" si="2"/>
        <v>179.20923088614222</v>
      </c>
    </row>
    <row r="11" spans="1:9" x14ac:dyDescent="0.35">
      <c r="A11" s="3" t="s">
        <v>92</v>
      </c>
      <c r="B11" s="31">
        <f>Historicals!E14</f>
        <v>342.52770000000015</v>
      </c>
      <c r="C11" s="27">
        <f t="shared" ref="C11:I11" si="3">C8-C10</f>
        <v>397.24627302642807</v>
      </c>
      <c r="D11" s="27">
        <f t="shared" si="3"/>
        <v>444.13450665724372</v>
      </c>
      <c r="E11" s="27">
        <f t="shared" si="3"/>
        <v>490.51392861020042</v>
      </c>
      <c r="F11" s="27">
        <f t="shared" si="3"/>
        <v>535.22950753286341</v>
      </c>
      <c r="G11" s="27">
        <f t="shared" si="3"/>
        <v>577.07798275365428</v>
      </c>
      <c r="H11" s="27">
        <f t="shared" si="3"/>
        <v>614.858722031767</v>
      </c>
      <c r="I11" s="27">
        <f t="shared" si="3"/>
        <v>627.15589647240222</v>
      </c>
    </row>
    <row r="12" spans="1:9" x14ac:dyDescent="0.35">
      <c r="A12" s="25" t="s">
        <v>93</v>
      </c>
      <c r="C12" s="26">
        <f t="shared" ref="C12:I12" si="4">C11/C6</f>
        <v>9.3908190076907677E-2</v>
      </c>
      <c r="D12" s="26">
        <f t="shared" si="4"/>
        <v>9.9002800920778553E-2</v>
      </c>
      <c r="E12" s="26">
        <f t="shared" si="4"/>
        <v>0.10409741176464937</v>
      </c>
      <c r="F12" s="26">
        <f t="shared" si="4"/>
        <v>0.10919202260852018</v>
      </c>
      <c r="G12" s="26">
        <f t="shared" si="4"/>
        <v>0.11428663345239108</v>
      </c>
      <c r="H12" s="26">
        <f t="shared" si="4"/>
        <v>0.11938124429626189</v>
      </c>
      <c r="I12" s="26">
        <f t="shared" si="4"/>
        <v>0.11938124429626187</v>
      </c>
    </row>
    <row r="13" spans="1:9" x14ac:dyDescent="0.35">
      <c r="A13" s="11" t="s">
        <v>111</v>
      </c>
      <c r="C13" s="28">
        <f>-MAX(C11,0)*Inputs!$B$10</f>
        <v>-87.394180065814183</v>
      </c>
      <c r="D13" s="28">
        <f>-MAX(D11,0)*Inputs!$B$10</f>
        <v>-97.709591464593615</v>
      </c>
      <c r="E13" s="28">
        <f>-MAX(E11,0)*Inputs!$B$10</f>
        <v>-107.91306429424409</v>
      </c>
      <c r="F13" s="28">
        <f>-MAX(F11,0)*Inputs!$B$10</f>
        <v>-117.75049165722994</v>
      </c>
      <c r="G13" s="28">
        <f>-MAX(G11,0)*Inputs!$B$10</f>
        <v>-126.95715620580394</v>
      </c>
      <c r="H13" s="28">
        <f>-MAX(H11,0)*Inputs!$B$10</f>
        <v>-135.26891884698875</v>
      </c>
      <c r="I13" s="28">
        <f>-MAX(I11,0)*Inputs!$B$10</f>
        <v>-137.97429722392849</v>
      </c>
    </row>
    <row r="14" spans="1:9" x14ac:dyDescent="0.35">
      <c r="A14" s="3" t="s">
        <v>95</v>
      </c>
      <c r="B14" s="31">
        <f>Historicals!E17</f>
        <v>272.78560048357025</v>
      </c>
      <c r="C14" s="27">
        <f t="shared" ref="C14:I14" si="5">C11+C13</f>
        <v>309.8520929606139</v>
      </c>
      <c r="D14" s="27">
        <f t="shared" si="5"/>
        <v>346.42491519265013</v>
      </c>
      <c r="E14" s="27">
        <f t="shared" si="5"/>
        <v>382.6008643159563</v>
      </c>
      <c r="F14" s="27">
        <f t="shared" si="5"/>
        <v>417.47901587563348</v>
      </c>
      <c r="G14" s="27">
        <f t="shared" si="5"/>
        <v>450.12082654785036</v>
      </c>
      <c r="H14" s="27">
        <f t="shared" si="5"/>
        <v>479.58980318477825</v>
      </c>
      <c r="I14" s="27">
        <f t="shared" si="5"/>
        <v>489.18159924847373</v>
      </c>
    </row>
    <row r="15" spans="1:9" x14ac:dyDescent="0.35">
      <c r="A15" s="25" t="s">
        <v>73</v>
      </c>
      <c r="C15" s="30">
        <f>Inputs!B34</f>
        <v>5.5799457283303433E-2</v>
      </c>
      <c r="D15" s="30">
        <f>Inputs!C34</f>
        <v>5.1803313197127818E-2</v>
      </c>
      <c r="E15" s="30">
        <f>Inputs!D34</f>
        <v>4.7807169110952223E-2</v>
      </c>
      <c r="F15" s="30">
        <f>Inputs!E34</f>
        <v>4.3811025024776622E-2</v>
      </c>
      <c r="G15" s="30">
        <f>Inputs!F34</f>
        <v>3.981488093860102E-2</v>
      </c>
      <c r="H15" s="30">
        <f>Inputs!G34</f>
        <v>3.5818736852425419E-2</v>
      </c>
      <c r="I15" s="26">
        <f>H15</f>
        <v>3.5818736852425419E-2</v>
      </c>
    </row>
    <row r="16" spans="1:9" x14ac:dyDescent="0.35">
      <c r="A16" s="11" t="s">
        <v>96</v>
      </c>
      <c r="B16" s="31">
        <f>Historicals!E18</f>
        <v>-254.04300000000001</v>
      </c>
      <c r="C16" s="28">
        <f t="shared" ref="C16:I16" si="6">-C6*C15</f>
        <v>-236.04039673788139</v>
      </c>
      <c r="D16" s="28">
        <f t="shared" si="6"/>
        <v>-232.39381851860557</v>
      </c>
      <c r="E16" s="28">
        <f t="shared" si="6"/>
        <v>-225.27056089889118</v>
      </c>
      <c r="F16" s="28">
        <f t="shared" si="6"/>
        <v>-214.74969314005031</v>
      </c>
      <c r="G16" s="28">
        <f t="shared" si="6"/>
        <v>-201.0409308731291</v>
      </c>
      <c r="H16" s="28">
        <f t="shared" si="6"/>
        <v>-184.48009061808762</v>
      </c>
      <c r="I16" s="28">
        <f t="shared" si="6"/>
        <v>-188.16969243044937</v>
      </c>
    </row>
    <row r="17" spans="1:9" x14ac:dyDescent="0.35">
      <c r="A17" s="25" t="s">
        <v>74</v>
      </c>
      <c r="C17" s="30">
        <f>Inputs!B35</f>
        <v>3.8989408713458788E-2</v>
      </c>
      <c r="D17" s="30">
        <f>Inputs!C35</f>
        <v>3.8989408713458788E-2</v>
      </c>
      <c r="E17" s="30">
        <f>Inputs!D35</f>
        <v>3.8989408713458788E-2</v>
      </c>
      <c r="F17" s="30">
        <f>Inputs!E35</f>
        <v>3.8989408713458788E-2</v>
      </c>
      <c r="G17" s="30">
        <f>Inputs!F35</f>
        <v>3.8989408713458788E-2</v>
      </c>
      <c r="H17" s="30">
        <f>Inputs!G35</f>
        <v>3.8989408713458788E-2</v>
      </c>
      <c r="I17" s="26">
        <f>H17</f>
        <v>3.8989408713458788E-2</v>
      </c>
    </row>
    <row r="18" spans="1:9" x14ac:dyDescent="0.35">
      <c r="A18" s="11" t="s">
        <v>97</v>
      </c>
      <c r="B18" s="31">
        <f>Historicals!E19</f>
        <v>-147.73099999999999</v>
      </c>
      <c r="C18" s="28">
        <f t="shared" ref="C18:I18" si="7">-C17*(C6-B6)</f>
        <v>-11.134859681629749</v>
      </c>
      <c r="D18" s="28">
        <f t="shared" si="7"/>
        <v>-9.9783424883685168</v>
      </c>
      <c r="E18" s="28">
        <f t="shared" si="7"/>
        <v>-8.8110722546845768</v>
      </c>
      <c r="F18" s="28">
        <f t="shared" si="7"/>
        <v>-7.3947579419869642</v>
      </c>
      <c r="G18" s="28">
        <f t="shared" si="7"/>
        <v>-5.7573529331831281</v>
      </c>
      <c r="H18" s="28">
        <f t="shared" si="7"/>
        <v>-3.93745596478586</v>
      </c>
      <c r="I18" s="28">
        <f t="shared" si="7"/>
        <v>-4.0162050840815509</v>
      </c>
    </row>
    <row r="19" spans="1:9" x14ac:dyDescent="0.35">
      <c r="A19" s="3" t="s">
        <v>98</v>
      </c>
      <c r="B19" s="31">
        <f>Historicals!E20</f>
        <v>13.376600483570144</v>
      </c>
      <c r="C19" s="27">
        <f t="shared" ref="C19:I19" si="8">C14+C10+C16+C18</f>
        <v>206.98049056224636</v>
      </c>
      <c r="D19" s="27">
        <f t="shared" si="8"/>
        <v>257.08677970800977</v>
      </c>
      <c r="E19" s="27">
        <f t="shared" si="8"/>
        <v>309.26234606472843</v>
      </c>
      <c r="F19" s="27">
        <f t="shared" si="8"/>
        <v>362.54759031187831</v>
      </c>
      <c r="G19" s="27">
        <f t="shared" si="8"/>
        <v>415.57286077896811</v>
      </c>
      <c r="H19" s="27">
        <f t="shared" si="8"/>
        <v>466.86758100008342</v>
      </c>
      <c r="I19" s="27">
        <f t="shared" si="8"/>
        <v>476.20493262008506</v>
      </c>
    </row>
    <row r="20" spans="1:9" x14ac:dyDescent="0.35">
      <c r="A20" s="25" t="s">
        <v>99</v>
      </c>
      <c r="C20" s="26">
        <f t="shared" ref="C20:I20" si="9">C19/C6</f>
        <v>4.8929756097769381E-2</v>
      </c>
      <c r="D20" s="26">
        <f t="shared" si="9"/>
        <v>5.7307664433375594E-2</v>
      </c>
      <c r="E20" s="26">
        <f t="shared" si="9"/>
        <v>6.5631999223379547E-2</v>
      </c>
      <c r="F20" s="26">
        <f t="shared" si="9"/>
        <v>7.3963232820396102E-2</v>
      </c>
      <c r="G20" s="26">
        <f t="shared" si="9"/>
        <v>8.2301568647581064E-2</v>
      </c>
      <c r="H20" s="26">
        <f t="shared" si="9"/>
        <v>9.0647218205186661E-2</v>
      </c>
      <c r="I20" s="26">
        <f t="shared" si="9"/>
        <v>9.0647218205186661E-2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"/>
  <sheetViews>
    <sheetView workbookViewId="0"/>
  </sheetViews>
  <sheetFormatPr defaultRowHeight="14.5" x14ac:dyDescent="0.35"/>
  <cols>
    <col min="1" max="1" width="34" customWidth="1"/>
    <col min="2" max="2" width="14" customWidth="1"/>
    <col min="3" max="3" width="40" customWidth="1"/>
  </cols>
  <sheetData>
    <row r="1" spans="1:3" ht="18" x14ac:dyDescent="0.4">
      <c r="A1" s="1" t="s">
        <v>112</v>
      </c>
    </row>
    <row r="2" spans="1:3" x14ac:dyDescent="0.35">
      <c r="A2" s="2" t="s">
        <v>113</v>
      </c>
    </row>
    <row r="4" spans="1:3" x14ac:dyDescent="0.35">
      <c r="A4" s="13" t="s">
        <v>114</v>
      </c>
      <c r="B4" s="14" t="s">
        <v>24</v>
      </c>
    </row>
    <row r="5" spans="1:3" x14ac:dyDescent="0.35">
      <c r="A5" s="11" t="s">
        <v>38</v>
      </c>
      <c r="B5" s="7">
        <f>Inputs!$B$12</f>
        <v>3.7999999999999999E-2</v>
      </c>
    </row>
    <row r="6" spans="1:3" x14ac:dyDescent="0.35">
      <c r="A6" s="11" t="s">
        <v>40</v>
      </c>
      <c r="B6" s="4">
        <f>Inputs!$B$14</f>
        <v>0.70587</v>
      </c>
      <c r="C6" s="2" t="s">
        <v>41</v>
      </c>
    </row>
    <row r="7" spans="1:3" x14ac:dyDescent="0.35">
      <c r="A7" s="11" t="s">
        <v>39</v>
      </c>
      <c r="B7" s="7">
        <f>Inputs!$B$13</f>
        <v>0.05</v>
      </c>
    </row>
    <row r="8" spans="1:3" x14ac:dyDescent="0.35">
      <c r="A8" s="11" t="s">
        <v>42</v>
      </c>
      <c r="B8" s="7">
        <f>Inputs!$B$15</f>
        <v>1.4999999999999999E-2</v>
      </c>
    </row>
    <row r="9" spans="1:3" x14ac:dyDescent="0.35">
      <c r="A9" s="3" t="s">
        <v>115</v>
      </c>
      <c r="B9" s="32">
        <f>B5+B6*B7+B8</f>
        <v>8.8293499999999997E-2</v>
      </c>
    </row>
    <row r="10" spans="1:3" x14ac:dyDescent="0.35">
      <c r="A10" s="11" t="s">
        <v>44</v>
      </c>
      <c r="B10" s="7">
        <f>Inputs!$B$16</f>
        <v>9.0060788771374925E-2</v>
      </c>
    </row>
    <row r="11" spans="1:3" x14ac:dyDescent="0.35">
      <c r="A11" s="11" t="s">
        <v>35</v>
      </c>
      <c r="B11" s="5">
        <f>Inputs!$B$10</f>
        <v>0.22</v>
      </c>
    </row>
    <row r="12" spans="1:3" x14ac:dyDescent="0.35">
      <c r="A12" s="11" t="s">
        <v>116</v>
      </c>
      <c r="B12" s="33">
        <f>B10*(1-B11)</f>
        <v>7.024741524167244E-2</v>
      </c>
    </row>
    <row r="13" spans="1:3" x14ac:dyDescent="0.35">
      <c r="A13" s="11" t="s">
        <v>117</v>
      </c>
      <c r="B13" s="28">
        <f>(Inputs!$B$5*Inputs!$B$6)*Inputs!$B$7</f>
        <v>4828.6452455999997</v>
      </c>
    </row>
    <row r="14" spans="1:3" x14ac:dyDescent="0.35">
      <c r="A14" s="11" t="s">
        <v>118</v>
      </c>
      <c r="B14" s="31">
        <f>Inputs!$B$17</f>
        <v>722.37200000000007</v>
      </c>
    </row>
    <row r="15" spans="1:3" x14ac:dyDescent="0.35">
      <c r="A15" s="11" t="s">
        <v>119</v>
      </c>
      <c r="B15" s="34">
        <f>B13/(B13+B14)</f>
        <v>0.86986673468316345</v>
      </c>
    </row>
    <row r="16" spans="1:3" x14ac:dyDescent="0.35">
      <c r="A16" s="11" t="s">
        <v>120</v>
      </c>
      <c r="B16" s="34">
        <f>B14/(B13+B14)</f>
        <v>0.13013326531683655</v>
      </c>
    </row>
    <row r="17" spans="1:2" x14ac:dyDescent="0.35">
      <c r="A17" s="3" t="s">
        <v>10</v>
      </c>
      <c r="B17" s="32">
        <f>B15*B9+B16*B12</f>
        <v>8.5945104064214434E-2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4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7" width="12" customWidth="1"/>
  </cols>
  <sheetData>
    <row r="1" spans="1:7" ht="18" x14ac:dyDescent="0.4">
      <c r="A1" s="1" t="s">
        <v>121</v>
      </c>
    </row>
    <row r="2" spans="1:7" x14ac:dyDescent="0.35">
      <c r="A2" s="2" t="s">
        <v>122</v>
      </c>
    </row>
    <row r="4" spans="1:7" x14ac:dyDescent="0.35">
      <c r="A4" s="13" t="s">
        <v>123</v>
      </c>
      <c r="B4" s="14" t="s">
        <v>64</v>
      </c>
      <c r="C4" s="14" t="s">
        <v>65</v>
      </c>
      <c r="D4" s="14" t="s">
        <v>66</v>
      </c>
      <c r="E4" s="14" t="s">
        <v>67</v>
      </c>
      <c r="F4" s="14" t="s">
        <v>68</v>
      </c>
      <c r="G4" s="14" t="s">
        <v>69</v>
      </c>
    </row>
    <row r="5" spans="1:7" x14ac:dyDescent="0.35">
      <c r="A5" s="3" t="s">
        <v>98</v>
      </c>
      <c r="B5" s="35">
        <f>Forecast!C19</f>
        <v>206.98049056224636</v>
      </c>
      <c r="C5" s="35">
        <f>Forecast!D19</f>
        <v>257.08677970800977</v>
      </c>
      <c r="D5" s="35">
        <f>Forecast!E19</f>
        <v>309.26234606472843</v>
      </c>
      <c r="E5" s="35">
        <f>Forecast!F19</f>
        <v>362.54759031187831</v>
      </c>
      <c r="F5" s="35">
        <f>Forecast!G19</f>
        <v>415.57286077896811</v>
      </c>
      <c r="G5" s="35">
        <f>Forecast!H19</f>
        <v>466.86758100008342</v>
      </c>
    </row>
    <row r="6" spans="1:7" x14ac:dyDescent="0.35">
      <c r="A6" s="11" t="s">
        <v>124</v>
      </c>
      <c r="B6" s="36">
        <f>1-0.5*Inputs!$B$18</f>
        <v>1</v>
      </c>
      <c r="C6" s="36">
        <f>2-0.5*Inputs!$B$18</f>
        <v>2</v>
      </c>
      <c r="D6" s="36">
        <f>3-0.5*Inputs!$B$18</f>
        <v>3</v>
      </c>
      <c r="E6" s="36">
        <f>4-0.5*Inputs!$B$18</f>
        <v>4</v>
      </c>
      <c r="F6" s="36">
        <f>5-0.5*Inputs!$B$18</f>
        <v>5</v>
      </c>
      <c r="G6" s="36">
        <f>6-0.5*Inputs!$B$18</f>
        <v>6</v>
      </c>
    </row>
    <row r="7" spans="1:7" x14ac:dyDescent="0.35">
      <c r="A7" s="11" t="s">
        <v>125</v>
      </c>
      <c r="B7" s="37">
        <f>1/(1+WACC!$B$17)^B6</f>
        <v>0.9208568612330772</v>
      </c>
      <c r="C7" s="37">
        <f>1/(1+WACC!$B$17)^C6</f>
        <v>0.84797735888003478</v>
      </c>
      <c r="D7" s="37">
        <f>1/(1+WACC!$B$17)^D6</f>
        <v>0.78086576909498362</v>
      </c>
      <c r="E7" s="37">
        <f>1/(1+WACC!$B$17)^E6</f>
        <v>0.71906560117315943</v>
      </c>
      <c r="F7" s="37">
        <f>1/(1+WACC!$B$17)^F6</f>
        <v>0.66215649251699127</v>
      </c>
      <c r="G7" s="37">
        <f>1/(1+WACC!$B$17)^G6</f>
        <v>0.6097513493443002</v>
      </c>
    </row>
    <row r="8" spans="1:7" x14ac:dyDescent="0.35">
      <c r="A8" s="3" t="s">
        <v>126</v>
      </c>
      <c r="B8" s="27">
        <f t="shared" ref="B8:G8" si="0">B5*B7</f>
        <v>190.59940487563273</v>
      </c>
      <c r="C8" s="27">
        <f t="shared" si="0"/>
        <v>218.00376845977144</v>
      </c>
      <c r="D8" s="27">
        <f t="shared" si="0"/>
        <v>241.49237971195316</v>
      </c>
      <c r="E8" s="27">
        <f t="shared" si="0"/>
        <v>260.69550098149108</v>
      </c>
      <c r="F8" s="27">
        <f t="shared" si="0"/>
        <v>275.17426787865344</v>
      </c>
      <c r="G8" s="27">
        <f t="shared" si="0"/>
        <v>284.67313747991022</v>
      </c>
    </row>
    <row r="10" spans="1:7" x14ac:dyDescent="0.35">
      <c r="A10" s="3" t="s">
        <v>127</v>
      </c>
      <c r="B10" s="27">
        <f>SUM(B8:G8)</f>
        <v>1470.6384593874118</v>
      </c>
    </row>
    <row r="11" spans="1:7" x14ac:dyDescent="0.35">
      <c r="A11" s="11" t="s">
        <v>11</v>
      </c>
      <c r="B11" s="7">
        <f>Inputs!$B$11</f>
        <v>0.02</v>
      </c>
    </row>
    <row r="12" spans="1:7" x14ac:dyDescent="0.35">
      <c r="A12" s="11" t="s">
        <v>10</v>
      </c>
      <c r="B12" s="7">
        <f>WACC!$B$17</f>
        <v>8.5945104064214434E-2</v>
      </c>
    </row>
    <row r="13" spans="1:7" x14ac:dyDescent="0.35">
      <c r="A13" s="11" t="s">
        <v>128</v>
      </c>
      <c r="B13" s="28">
        <f>IF(Inputs!$B$19=1,Forecast!$H$14*(1+B11)*(1-B11/Inputs!$B$20),$G$5*(1+B11))</f>
        <v>476.20493262008512</v>
      </c>
    </row>
    <row r="14" spans="1:7" x14ac:dyDescent="0.35">
      <c r="A14" s="3" t="s">
        <v>129</v>
      </c>
      <c r="B14" s="27">
        <f>B13/(B12-B11)</f>
        <v>7221.2325596814253</v>
      </c>
    </row>
    <row r="15" spans="1:7" x14ac:dyDescent="0.35">
      <c r="A15" s="3" t="s">
        <v>130</v>
      </c>
      <c r="B15" s="27">
        <f>B14/(1+B12)^6</f>
        <v>4403.1562971947442</v>
      </c>
    </row>
    <row r="16" spans="1:7" x14ac:dyDescent="0.35">
      <c r="A16" s="3" t="s">
        <v>131</v>
      </c>
      <c r="B16" s="27">
        <f>B10+B15</f>
        <v>5873.794756582156</v>
      </c>
    </row>
    <row r="17" spans="1:2" x14ac:dyDescent="0.35">
      <c r="A17" s="11" t="s">
        <v>132</v>
      </c>
      <c r="B17" s="31">
        <f>-Inputs!$B$8</f>
        <v>-722.37199999999996</v>
      </c>
    </row>
    <row r="18" spans="1:2" x14ac:dyDescent="0.35">
      <c r="A18" s="11" t="s">
        <v>133</v>
      </c>
      <c r="B18" s="31">
        <f>-Inputs!$B$9</f>
        <v>0</v>
      </c>
    </row>
    <row r="19" spans="1:2" x14ac:dyDescent="0.35">
      <c r="A19" s="3" t="s">
        <v>134</v>
      </c>
      <c r="B19" s="27">
        <f>B16+B17+B18</f>
        <v>5151.4227565821557</v>
      </c>
    </row>
    <row r="20" spans="1:2" x14ac:dyDescent="0.35">
      <c r="A20" s="11" t="s">
        <v>29</v>
      </c>
      <c r="B20" s="38">
        <f>Inputs!$B$7</f>
        <v>40.645161999999999</v>
      </c>
    </row>
    <row r="21" spans="1:2" x14ac:dyDescent="0.35">
      <c r="A21" s="3" t="s">
        <v>135</v>
      </c>
      <c r="B21" s="39">
        <f>B19/B20/Inputs!$B$6</f>
        <v>126.74135132201357</v>
      </c>
    </row>
    <row r="22" spans="1:2" x14ac:dyDescent="0.35">
      <c r="A22" s="11" t="s">
        <v>136</v>
      </c>
      <c r="B22" s="4">
        <f>Inputs!$B$5</f>
        <v>118.8</v>
      </c>
    </row>
    <row r="23" spans="1:2" x14ac:dyDescent="0.35">
      <c r="A23" s="3" t="s">
        <v>137</v>
      </c>
      <c r="B23" s="40">
        <f>B21/B22-1</f>
        <v>6.6846391599440835E-2</v>
      </c>
    </row>
    <row r="24" spans="1:2" x14ac:dyDescent="0.35">
      <c r="A24" s="11" t="s">
        <v>138</v>
      </c>
      <c r="B24" s="34">
        <f>B15/B16</f>
        <v>0.74962719667053079</v>
      </c>
    </row>
    <row r="25" spans="1:2" x14ac:dyDescent="0.35">
      <c r="A25" s="11" t="s">
        <v>139</v>
      </c>
      <c r="B25" s="29">
        <f>B14/Forecast!H8</f>
        <v>9.1343945329123422</v>
      </c>
    </row>
    <row r="26" spans="1:2" x14ac:dyDescent="0.35">
      <c r="A26" s="11" t="s">
        <v>140</v>
      </c>
      <c r="B26" s="4">
        <f>Inputs!$B$24*B21+(1-Inputs!$B$24)*Inputs!$B$25</f>
        <v>126.74135132201357</v>
      </c>
    </row>
    <row r="27" spans="1:2" x14ac:dyDescent="0.35">
      <c r="A27" s="11" t="s">
        <v>115</v>
      </c>
      <c r="B27" s="7">
        <f>WACC!$B$9</f>
        <v>8.8293499999999997E-2</v>
      </c>
    </row>
    <row r="28" spans="1:2" x14ac:dyDescent="0.35">
      <c r="A28" s="11" t="s">
        <v>52</v>
      </c>
      <c r="B28" s="41">
        <f>IF(Inputs!$B$22&gt;0,Inputs!$B$21,0)</f>
        <v>7.50000701190464</v>
      </c>
    </row>
    <row r="29" spans="1:2" x14ac:dyDescent="0.35">
      <c r="A29" s="11" t="s">
        <v>141</v>
      </c>
      <c r="B29" s="41">
        <f>IF(B26&lt;=0,0,B26*(1+B27)^(Inputs!$B$22/12)-B28)</f>
        <v>130.43178181305913</v>
      </c>
    </row>
    <row r="30" spans="1:2" x14ac:dyDescent="0.35">
      <c r="A30" s="3" t="s">
        <v>5</v>
      </c>
      <c r="B30" s="39">
        <f>IF(Inputs!$B$23&gt;0,MROUND(B29,Inputs!$B$23),B29)</f>
        <v>130</v>
      </c>
    </row>
    <row r="31" spans="1:2" x14ac:dyDescent="0.35">
      <c r="A31" s="3" t="s">
        <v>6</v>
      </c>
      <c r="B31" s="40">
        <f>B30/B22-1</f>
        <v>9.4276094276094291E-2</v>
      </c>
    </row>
    <row r="32" spans="1:2" x14ac:dyDescent="0.35">
      <c r="A32" s="3" t="s">
        <v>142</v>
      </c>
      <c r="B32" s="40">
        <f>(B30+B28)/B22-1</f>
        <v>0.15740746643017389</v>
      </c>
    </row>
    <row r="33" spans="1:8" x14ac:dyDescent="0.35">
      <c r="A33" s="3" t="s">
        <v>8</v>
      </c>
      <c r="B33" s="3" t="str">
        <f>IF(B26&lt;=0,"NOT RATED",IF(B32&gt;=Inputs!$B$26,"BUY",IF(B32&lt;=Inputs!$B$27,"SELL","HOLD")))</f>
        <v>BUY</v>
      </c>
    </row>
    <row r="36" spans="1:8" x14ac:dyDescent="0.35">
      <c r="A36" s="9" t="s">
        <v>143</v>
      </c>
    </row>
    <row r="37" spans="1:8" x14ac:dyDescent="0.35">
      <c r="A37" s="14" t="s">
        <v>144</v>
      </c>
      <c r="B37" s="42">
        <f>WACC!$B$17+(-3)*0.005</f>
        <v>7.0945104064214434E-2</v>
      </c>
      <c r="C37" s="42">
        <f>WACC!$B$17+(-2)*0.005</f>
        <v>7.5945104064214439E-2</v>
      </c>
      <c r="D37" s="42">
        <f>WACC!$B$17+(-1)*0.005</f>
        <v>8.0945104064214429E-2</v>
      </c>
      <c r="E37" s="42">
        <f>WACC!$B$17+(0)*0.005</f>
        <v>8.5945104064214434E-2</v>
      </c>
      <c r="F37" s="42">
        <f>WACC!$B$17+(1)*0.005</f>
        <v>9.0945104064214438E-2</v>
      </c>
      <c r="G37" s="42">
        <f>WACC!$B$17+(2)*0.005</f>
        <v>9.5945104064214429E-2</v>
      </c>
      <c r="H37" s="42">
        <f>WACC!$B$17+(3)*0.005</f>
        <v>0.10094510406421443</v>
      </c>
    </row>
    <row r="38" spans="1:8" x14ac:dyDescent="0.35">
      <c r="A38" s="42">
        <f>Inputs!$B$11+(-3)*0.0025</f>
        <v>1.2500000000000001E-2</v>
      </c>
      <c r="B38" s="43">
        <f>IF(B$37&lt;=$A38,"n.m.",(NPV(B$37,$B$5:$G$5)*(1+B$37)^(0.5*Inputs!$B$18)+IF(Inputs!$B$19=1,Forecast!$H$14*(1+$A38)*(1-$A38/Inputs!$B$20),$G$5*(1+$A38))/(B$37-$A38)/(1+B$37)^6-Inputs!$B$8-Inputs!$B$9)/Inputs!$B$7/Inputs!$B$6)</f>
        <v>152.23907449365618</v>
      </c>
      <c r="C38" s="43">
        <f>IF(C$37&lt;=$A38,"n.m.",(NPV(C$37,$B$5:$G$5)*(1+C$37)^(0.5*Inputs!$B$18)+IF(Inputs!$B$19=1,Forecast!$H$14*(1+$A38)*(1-$A38/Inputs!$B$20),$G$5*(1+$A38))/(C$37-$A38)/(1+C$37)^6-Inputs!$B$8-Inputs!$B$9)/Inputs!$B$7/Inputs!$B$6)</f>
        <v>137.83475797202755</v>
      </c>
      <c r="D38" s="43">
        <f>IF(D$37&lt;=$A38,"n.m.",(NPV(D$37,$B$5:$G$5)*(1+D$37)^(0.5*Inputs!$B$18)+IF(Inputs!$B$19=1,Forecast!$H$14*(1+$A38)*(1-$A38/Inputs!$B$20),$G$5*(1+$A38))/(D$37-$A38)/(1+D$37)^6-Inputs!$B$8-Inputs!$B$9)/Inputs!$B$7/Inputs!$B$6)</f>
        <v>125.55436382129041</v>
      </c>
      <c r="E38" s="43">
        <f>IF(E$37&lt;=$A38,"n.m.",(NPV(E$37,$B$5:$G$5)*(1+E$37)^(0.5*Inputs!$B$18)+IF(Inputs!$B$19=1,Forecast!$H$14*(1+$A38)*(1-$A38/Inputs!$B$20),$G$5*(1+$A38))/(E$37-$A38)/(1+E$37)^6-Inputs!$B$8-Inputs!$B$9)/Inputs!$B$7/Inputs!$B$6)</f>
        <v>114.96362778819902</v>
      </c>
      <c r="F38" s="43">
        <f>IF(F$37&lt;=$A38,"n.m.",(NPV(F$37,$B$5:$G$5)*(1+F$37)^(0.5*Inputs!$B$18)+IF(Inputs!$B$19=1,Forecast!$H$14*(1+$A38)*(1-$A38/Inputs!$B$20),$G$5*(1+$A38))/(F$37-$A38)/(1+F$37)^6-Inputs!$B$8-Inputs!$B$9)/Inputs!$B$7/Inputs!$B$6)</f>
        <v>105.73901833879283</v>
      </c>
      <c r="G38" s="43">
        <f>IF(G$37&lt;=$A38,"n.m.",(NPV(G$37,$B$5:$G$5)*(1+G$37)^(0.5*Inputs!$B$18)+IF(Inputs!$B$19=1,Forecast!$H$14*(1+$A38)*(1-$A38/Inputs!$B$20),$G$5*(1+$A38))/(G$37-$A38)/(1+G$37)^6-Inputs!$B$8-Inputs!$B$9)/Inputs!$B$7/Inputs!$B$6)</f>
        <v>97.63456082241315</v>
      </c>
      <c r="H38" s="43">
        <f>IF(H$37&lt;=$A38,"n.m.",(NPV(H$37,$B$5:$G$5)*(1+H$37)^(0.5*Inputs!$B$18)+IF(Inputs!$B$19=1,Forecast!$H$14*(1+$A38)*(1-$A38/Inputs!$B$20),$G$5*(1+$A38))/(H$37-$A38)/(1+H$37)^6-Inputs!$B$8-Inputs!$B$9)/Inputs!$B$7/Inputs!$B$6)</f>
        <v>90.459914682525735</v>
      </c>
    </row>
    <row r="39" spans="1:8" x14ac:dyDescent="0.35">
      <c r="A39" s="42">
        <f>Inputs!$B$11+(-2)*0.0025</f>
        <v>1.4999999999999999E-2</v>
      </c>
      <c r="B39" s="43">
        <f>IF(B$37&lt;=$A39,"n.m.",(NPV(B$37,$B$5:$G$5)*(1+B$37)^(0.5*Inputs!$B$18)+IF(Inputs!$B$19=1,Forecast!$H$14*(1+$A39)*(1-$A39/Inputs!$B$20),$G$5*(1+$A39))/(B$37-$A39)/(1+B$37)^6-Inputs!$B$8-Inputs!$B$9)/Inputs!$B$7/Inputs!$B$6)</f>
        <v>158.47324385748939</v>
      </c>
      <c r="C39" s="43">
        <f>IF(C$37&lt;=$A39,"n.m.",(NPV(C$37,$B$5:$G$5)*(1+C$37)^(0.5*Inputs!$B$18)+IF(Inputs!$B$19=1,Forecast!$H$14*(1+$A39)*(1-$A39/Inputs!$B$20),$G$5*(1+$A39))/(C$37-$A39)/(1+C$37)^6-Inputs!$B$8-Inputs!$B$9)/Inputs!$B$7/Inputs!$B$6)</f>
        <v>142.9851153120986</v>
      </c>
      <c r="D39" s="43">
        <f>IF(D$37&lt;=$A39,"n.m.",(NPV(D$37,$B$5:$G$5)*(1+D$37)^(0.5*Inputs!$B$18)+IF(Inputs!$B$19=1,Forecast!$H$14*(1+$A39)*(1-$A39/Inputs!$B$20),$G$5*(1+$A39))/(D$37-$A39)/(1+D$37)^6-Inputs!$B$8-Inputs!$B$9)/Inputs!$B$7/Inputs!$B$6)</f>
        <v>129.86540059557996</v>
      </c>
      <c r="E39" s="43">
        <f>IF(E$37&lt;=$A39,"n.m.",(NPV(E$37,$B$5:$G$5)*(1+E$37)^(0.5*Inputs!$B$18)+IF(Inputs!$B$19=1,Forecast!$H$14*(1+$A39)*(1-$A39/Inputs!$B$20),$G$5*(1+$A39))/(E$37-$A39)/(1+E$37)^6-Inputs!$B$8-Inputs!$B$9)/Inputs!$B$7/Inputs!$B$6)</f>
        <v>118.61284932045091</v>
      </c>
      <c r="F39" s="43">
        <f>IF(F$37&lt;=$A39,"n.m.",(NPV(F$37,$B$5:$G$5)*(1+F$37)^(0.5*Inputs!$B$18)+IF(Inputs!$B$19=1,Forecast!$H$14*(1+$A39)*(1-$A39/Inputs!$B$20),$G$5*(1+$A39))/(F$37-$A39)/(1+F$37)^6-Inputs!$B$8-Inputs!$B$9)/Inputs!$B$7/Inputs!$B$6)</f>
        <v>108.85822934494168</v>
      </c>
      <c r="G39" s="43">
        <f>IF(G$37&lt;=$A39,"n.m.",(NPV(G$37,$B$5:$G$5)*(1+G$37)^(0.5*Inputs!$B$18)+IF(Inputs!$B$19=1,Forecast!$H$14*(1+$A39)*(1-$A39/Inputs!$B$20),$G$5*(1+$A39))/(G$37-$A39)/(1+G$37)^6-Inputs!$B$8-Inputs!$B$9)/Inputs!$B$7/Inputs!$B$6)</f>
        <v>100.32355224545809</v>
      </c>
      <c r="H39" s="43">
        <f>IF(H$37&lt;=$A39,"n.m.",(NPV(H$37,$B$5:$G$5)*(1+H$37)^(0.5*Inputs!$B$18)+IF(Inputs!$B$19=1,Forecast!$H$14*(1+$A39)*(1-$A39/Inputs!$B$20),$G$5*(1+$A39))/(H$37-$A39)/(1+H$37)^6-Inputs!$B$8-Inputs!$B$9)/Inputs!$B$7/Inputs!$B$6)</f>
        <v>92.795531567263808</v>
      </c>
    </row>
    <row r="40" spans="1:8" x14ac:dyDescent="0.35">
      <c r="A40" s="42">
        <f>Inputs!$B$11+(-1)*0.0025</f>
        <v>1.7500000000000002E-2</v>
      </c>
      <c r="B40" s="43">
        <f>IF(B$37&lt;=$A40,"n.m.",(NPV(B$37,$B$5:$G$5)*(1+B$37)^(0.5*Inputs!$B$18)+IF(Inputs!$B$19=1,Forecast!$H$14*(1+$A40)*(1-$A40/Inputs!$B$20),$G$5*(1+$A40))/(B$37-$A40)/(1+B$37)^6-Inputs!$B$8-Inputs!$B$9)/Inputs!$B$7/Inputs!$B$6)</f>
        <v>165.29064432106404</v>
      </c>
      <c r="C40" s="43">
        <f>IF(C$37&lt;=$A40,"n.m.",(NPV(C$37,$B$5:$G$5)*(1+C$37)^(0.5*Inputs!$B$18)+IF(Inputs!$B$19=1,Forecast!$H$14*(1+$A40)*(1-$A40/Inputs!$B$20),$G$5*(1+$A40))/(C$37-$A40)/(1+C$37)^6-Inputs!$B$8-Inputs!$B$9)/Inputs!$B$7/Inputs!$B$6)</f>
        <v>148.5760876038012</v>
      </c>
      <c r="D40" s="43">
        <f>IF(D$37&lt;=$A40,"n.m.",(NPV(D$37,$B$5:$G$5)*(1+D$37)^(0.5*Inputs!$B$18)+IF(Inputs!$B$19=1,Forecast!$H$14*(1+$A40)*(1-$A40/Inputs!$B$20),$G$5*(1+$A40))/(D$37-$A40)/(1+D$37)^6-Inputs!$B$8-Inputs!$B$9)/Inputs!$B$7/Inputs!$B$6)</f>
        <v>134.51618279529484</v>
      </c>
      <c r="E40" s="43">
        <f>IF(E$37&lt;=$A40,"n.m.",(NPV(E$37,$B$5:$G$5)*(1+E$37)^(0.5*Inputs!$B$18)+IF(Inputs!$B$19=1,Forecast!$H$14*(1+$A40)*(1-$A40/Inputs!$B$20),$G$5*(1+$A40))/(E$37-$A40)/(1+E$37)^6-Inputs!$B$8-Inputs!$B$9)/Inputs!$B$7/Inputs!$B$6)</f>
        <v>122.52865102539334</v>
      </c>
      <c r="F40" s="43">
        <f>IF(F$37&lt;=$A40,"n.m.",(NPV(F$37,$B$5:$G$5)*(1+F$37)^(0.5*Inputs!$B$18)+IF(Inputs!$B$19=1,Forecast!$H$14*(1+$A40)*(1-$A40/Inputs!$B$20),$G$5*(1+$A40))/(F$37-$A40)/(1+F$37)^6-Inputs!$B$8-Inputs!$B$9)/Inputs!$B$7/Inputs!$B$6)</f>
        <v>112.18979017657526</v>
      </c>
      <c r="G40" s="43">
        <f>IF(G$37&lt;=$A40,"n.m.",(NPV(G$37,$B$5:$G$5)*(1+G$37)^(0.5*Inputs!$B$18)+IF(Inputs!$B$19=1,Forecast!$H$14*(1+$A40)*(1-$A40/Inputs!$B$20),$G$5*(1+$A40))/(G$37-$A40)/(1+G$37)^6-Inputs!$B$8-Inputs!$B$9)/Inputs!$B$7/Inputs!$B$6)</f>
        <v>103.18393686474657</v>
      </c>
      <c r="H40" s="43">
        <f>IF(H$37&lt;=$A40,"n.m.",(NPV(H$37,$B$5:$G$5)*(1+H$37)^(0.5*Inputs!$B$18)+IF(Inputs!$B$19=1,Forecast!$H$14*(1+$A40)*(1-$A40/Inputs!$B$20),$G$5*(1+$A40))/(H$37-$A40)/(1+H$37)^6-Inputs!$B$8-Inputs!$B$9)/Inputs!$B$7/Inputs!$B$6)</f>
        <v>95.271097758251216</v>
      </c>
    </row>
    <row r="41" spans="1:8" x14ac:dyDescent="0.35">
      <c r="A41" s="42">
        <f>Inputs!$B$11+(0)*0.0025</f>
        <v>0.02</v>
      </c>
      <c r="B41" s="43">
        <f>IF(B$37&lt;=$A41,"n.m.",(NPV(B$37,$B$5:$G$5)*(1+B$37)^(0.5*Inputs!$B$18)+IF(Inputs!$B$19=1,Forecast!$H$14*(1+$A41)*(1-$A41/Inputs!$B$20),$G$5*(1+$A41))/(B$37-$A41)/(1+B$37)^6-Inputs!$B$8-Inputs!$B$9)/Inputs!$B$7/Inputs!$B$6)</f>
        <v>172.77713758450631</v>
      </c>
      <c r="C41" s="43">
        <f>IF(C$37&lt;=$A41,"n.m.",(NPV(C$37,$B$5:$G$5)*(1+C$37)^(0.5*Inputs!$B$18)+IF(Inputs!$B$19=1,Forecast!$H$14*(1+$A41)*(1-$A41/Inputs!$B$20),$G$5*(1+$A41))/(C$37-$A41)/(1+C$37)^6-Inputs!$B$8-Inputs!$B$9)/Inputs!$B$7/Inputs!$B$6)</f>
        <v>154.66674368242514</v>
      </c>
      <c r="D41" s="43">
        <f>IF(D$37&lt;=$A41,"n.m.",(NPV(D$37,$B$5:$G$5)*(1+D$37)^(0.5*Inputs!$B$18)+IF(Inputs!$B$19=1,Forecast!$H$14*(1+$A41)*(1-$A41/Inputs!$B$20),$G$5*(1+$A41))/(D$37-$A41)/(1+D$37)^6-Inputs!$B$8-Inputs!$B$9)/Inputs!$B$7/Inputs!$B$6)</f>
        <v>139.5485200248292</v>
      </c>
      <c r="E41" s="44">
        <f>IF(E$37&lt;=$A41,"n.m.",(NPV(E$37,$B$5:$G$5)*(1+E$37)^(0.5*Inputs!$B$18)+IF(Inputs!$B$19=1,Forecast!$H$14*(1+$A41)*(1-$A41/Inputs!$B$20),$G$5*(1+$A41))/(E$37-$A41)/(1+E$37)^6-Inputs!$B$8-Inputs!$B$9)/Inputs!$B$7/Inputs!$B$6)</f>
        <v>126.74135132201357</v>
      </c>
      <c r="F41" s="43">
        <f>IF(F$37&lt;=$A41,"n.m.",(NPV(F$37,$B$5:$G$5)*(1+F$37)^(0.5*Inputs!$B$18)+IF(Inputs!$B$19=1,Forecast!$H$14*(1+$A41)*(1-$A41/Inputs!$B$20),$G$5*(1+$A41))/(F$37-$A41)/(1+F$37)^6-Inputs!$B$8-Inputs!$B$9)/Inputs!$B$7/Inputs!$B$6)</f>
        <v>115.75614951020397</v>
      </c>
      <c r="G41" s="43">
        <f>IF(G$37&lt;=$A41,"n.m.",(NPV(G$37,$B$5:$G$5)*(1+G$37)^(0.5*Inputs!$B$18)+IF(Inputs!$B$19=1,Forecast!$H$14*(1+$A41)*(1-$A41/Inputs!$B$20),$G$5*(1+$A41))/(G$37-$A41)/(1+G$37)^6-Inputs!$B$8-Inputs!$B$9)/Inputs!$B$7/Inputs!$B$6)</f>
        <v>106.23264070846263</v>
      </c>
      <c r="H41" s="43">
        <f>IF(H$37&lt;=$A41,"n.m.",(NPV(H$37,$B$5:$G$5)*(1+H$37)^(0.5*Inputs!$B$18)+IF(Inputs!$B$19=1,Forecast!$H$14*(1+$A41)*(1-$A41/Inputs!$B$20),$G$5*(1+$A41))/(H$37-$A41)/(1+H$37)^6-Inputs!$B$8-Inputs!$B$9)/Inputs!$B$7/Inputs!$B$6)</f>
        <v>97.899580312717717</v>
      </c>
    </row>
    <row r="42" spans="1:8" x14ac:dyDescent="0.35">
      <c r="A42" s="42">
        <f>Inputs!$B$11+(1)*0.0025</f>
        <v>2.2499999999999999E-2</v>
      </c>
      <c r="B42" s="43">
        <f>IF(B$37&lt;=$A42,"n.m.",(NPV(B$37,$B$5:$G$5)*(1+B$37)^(0.5*Inputs!$B$18)+IF(Inputs!$B$19=1,Forecast!$H$14*(1+$A42)*(1-$A42/Inputs!$B$20),$G$5*(1+$A42))/(B$37-$A42)/(1+B$37)^6-Inputs!$B$8-Inputs!$B$9)/Inputs!$B$7/Inputs!$B$6)</f>
        <v>181.03630885205797</v>
      </c>
      <c r="C42" s="43">
        <f>IF(C$37&lt;=$A42,"n.m.",(NPV(C$37,$B$5:$G$5)*(1+C$37)^(0.5*Inputs!$B$18)+IF(Inputs!$B$19=1,Forecast!$H$14*(1+$A42)*(1-$A42/Inputs!$B$20),$G$5*(1+$A42))/(C$37-$A42)/(1+C$37)^6-Inputs!$B$8-Inputs!$B$9)/Inputs!$B$7/Inputs!$B$6)</f>
        <v>161.32720462767494</v>
      </c>
      <c r="D42" s="43">
        <f>IF(D$37&lt;=$A42,"n.m.",(NPV(D$37,$B$5:$G$5)*(1+D$37)^(0.5*Inputs!$B$18)+IF(Inputs!$B$19=1,Forecast!$H$14*(1+$A42)*(1-$A42/Inputs!$B$20),$G$5*(1+$A42))/(D$37-$A42)/(1+D$37)^6-Inputs!$B$8-Inputs!$B$9)/Inputs!$B$7/Inputs!$B$6)</f>
        <v>145.01137554243135</v>
      </c>
      <c r="E42" s="43">
        <f>IF(E$37&lt;=$A42,"n.m.",(NPV(E$37,$B$5:$G$5)*(1+E$37)^(0.5*Inputs!$B$18)+IF(Inputs!$B$19=1,Forecast!$H$14*(1+$A42)*(1-$A42/Inputs!$B$20),$G$5*(1+$A42))/(E$37-$A42)/(1+E$37)^6-Inputs!$B$8-Inputs!$B$9)/Inputs!$B$7/Inputs!$B$6)</f>
        <v>131.28604731465757</v>
      </c>
      <c r="F42" s="43">
        <f>IF(F$37&lt;=$A42,"n.m.",(NPV(F$37,$B$5:$G$5)*(1+F$37)^(0.5*Inputs!$B$18)+IF(Inputs!$B$19=1,Forecast!$H$14*(1+$A42)*(1-$A42/Inputs!$B$20),$G$5*(1+$A42))/(F$37-$A42)/(1+F$37)^6-Inputs!$B$8-Inputs!$B$9)/Inputs!$B$7/Inputs!$B$6)</f>
        <v>119.58303582983025</v>
      </c>
      <c r="G42" s="43">
        <f>IF(G$37&lt;=$A42,"n.m.",(NPV(G$37,$B$5:$G$5)*(1+G$37)^(0.5*Inputs!$B$18)+IF(Inputs!$B$19=1,Forecast!$H$14*(1+$A42)*(1-$A42/Inputs!$B$20),$G$5*(1+$A42))/(G$37-$A42)/(1+G$37)^6-Inputs!$B$8-Inputs!$B$9)/Inputs!$B$7/Inputs!$B$6)</f>
        <v>109.48889438702201</v>
      </c>
      <c r="H42" s="43">
        <f>IF(H$37&lt;=$A42,"n.m.",(NPV(H$37,$B$5:$G$5)*(1+H$37)^(0.5*Inputs!$B$18)+IF(Inputs!$B$19=1,Forecast!$H$14*(1+$A42)*(1-$A42/Inputs!$B$20),$G$5*(1+$A42))/(H$37-$A42)/(1+H$37)^6-Inputs!$B$8-Inputs!$B$9)/Inputs!$B$7/Inputs!$B$6)</f>
        <v>100.69559929828607</v>
      </c>
    </row>
    <row r="43" spans="1:8" x14ac:dyDescent="0.35">
      <c r="A43" s="42">
        <f>Inputs!$B$11+(2)*0.0025</f>
        <v>2.5000000000000001E-2</v>
      </c>
      <c r="B43" s="43">
        <f>IF(B$37&lt;=$A43,"n.m.",(NPV(B$37,$B$5:$G$5)*(1+B$37)^(0.5*Inputs!$B$18)+IF(Inputs!$B$19=1,Forecast!$H$14*(1+$A43)*(1-$A43/Inputs!$B$20),$G$5*(1+$A43))/(B$37-$A43)/(1+B$37)^6-Inputs!$B$8-Inputs!$B$9)/Inputs!$B$7/Inputs!$B$6)</f>
        <v>190.19428875610862</v>
      </c>
      <c r="C43" s="43">
        <f>IF(C$37&lt;=$A43,"n.m.",(NPV(C$37,$B$5:$G$5)*(1+C$37)^(0.5*Inputs!$B$18)+IF(Inputs!$B$19=1,Forecast!$H$14*(1+$A43)*(1-$A43/Inputs!$B$20),$G$5*(1+$A43))/(C$37-$A43)/(1+C$37)^6-Inputs!$B$8-Inputs!$B$9)/Inputs!$B$7/Inputs!$B$6)</f>
        <v>168.64135556606473</v>
      </c>
      <c r="D43" s="43">
        <f>IF(D$37&lt;=$A43,"n.m.",(NPV(D$37,$B$5:$G$5)*(1+D$37)^(0.5*Inputs!$B$18)+IF(Inputs!$B$19=1,Forecast!$H$14*(1+$A43)*(1-$A43/Inputs!$B$20),$G$5*(1+$A43))/(D$37-$A43)/(1+D$37)^6-Inputs!$B$8-Inputs!$B$9)/Inputs!$B$7/Inputs!$B$6)</f>
        <v>150.96246462479124</v>
      </c>
      <c r="E43" s="43">
        <f>IF(E$37&lt;=$A43,"n.m.",(NPV(E$37,$B$5:$G$5)*(1+E$37)^(0.5*Inputs!$B$18)+IF(Inputs!$B$19=1,Forecast!$H$14*(1+$A43)*(1-$A43/Inputs!$B$20),$G$5*(1+$A43))/(E$37-$A43)/(1+E$37)^6-Inputs!$B$8-Inputs!$B$9)/Inputs!$B$7/Inputs!$B$6)</f>
        <v>136.2035949138766</v>
      </c>
      <c r="F43" s="43">
        <f>IF(F$37&lt;=$A43,"n.m.",(NPV(F$37,$B$5:$G$5)*(1+F$37)^(0.5*Inputs!$B$18)+IF(Inputs!$B$19=1,Forecast!$H$14*(1+$A43)*(1-$A43/Inputs!$B$20),$G$5*(1+$A43))/(F$37-$A43)/(1+F$37)^6-Inputs!$B$8-Inputs!$B$9)/Inputs!$B$7/Inputs!$B$6)</f>
        <v>123.70007911970718</v>
      </c>
      <c r="G43" s="43">
        <f>IF(G$37&lt;=$A43,"n.m.",(NPV(G$37,$B$5:$G$5)*(1+G$37)^(0.5*Inputs!$B$18)+IF(Inputs!$B$19=1,Forecast!$H$14*(1+$A43)*(1-$A43/Inputs!$B$20),$G$5*(1+$A43))/(G$37-$A43)/(1+G$37)^6-Inputs!$B$8-Inputs!$B$9)/Inputs!$B$7/Inputs!$B$6)</f>
        <v>112.97463914333161</v>
      </c>
      <c r="H43" s="43">
        <f>IF(H$37&lt;=$A43,"n.m.",(NPV(H$37,$B$5:$G$5)*(1+H$37)^(0.5*Inputs!$B$18)+IF(Inputs!$B$19=1,Forecast!$H$14*(1+$A43)*(1-$A43/Inputs!$B$20),$G$5*(1+$A43))/(H$37-$A43)/(1+H$37)^6-Inputs!$B$8-Inputs!$B$9)/Inputs!$B$7/Inputs!$B$6)</f>
        <v>103.67569986620397</v>
      </c>
    </row>
    <row r="44" spans="1:8" x14ac:dyDescent="0.35">
      <c r="A44" s="42">
        <f>Inputs!$B$11+(3)*0.0025</f>
        <v>2.75E-2</v>
      </c>
      <c r="B44" s="43">
        <f>IF(B$37&lt;=$A44,"n.m.",(NPV(B$37,$B$5:$G$5)*(1+B$37)^(0.5*Inputs!$B$18)+IF(Inputs!$B$19=1,Forecast!$H$14*(1+$A44)*(1-$A44/Inputs!$B$20),$G$5*(1+$A44))/(B$37-$A44)/(1+B$37)^6-Inputs!$B$8-Inputs!$B$9)/Inputs!$B$7/Inputs!$B$6)</f>
        <v>200.40624011463137</v>
      </c>
      <c r="C44" s="43">
        <f>IF(C$37&lt;=$A44,"n.m.",(NPV(C$37,$B$5:$G$5)*(1+C$37)^(0.5*Inputs!$B$18)+IF(Inputs!$B$19=1,Forecast!$H$14*(1+$A44)*(1-$A44/Inputs!$B$20),$G$5*(1+$A44))/(C$37-$A44)/(1+C$37)^6-Inputs!$B$8-Inputs!$B$9)/Inputs!$B$7/Inputs!$B$6)</f>
        <v>176.71039712546494</v>
      </c>
      <c r="D44" s="43">
        <f>IF(D$37&lt;=$A44,"n.m.",(NPV(D$37,$B$5:$G$5)*(1+D$37)^(0.5*Inputs!$B$18)+IF(Inputs!$B$19=1,Forecast!$H$14*(1+$A44)*(1-$A44/Inputs!$B$20),$G$5*(1+$A44))/(D$37-$A44)/(1+D$37)^6-Inputs!$B$8-Inputs!$B$9)/Inputs!$B$7/Inputs!$B$6)</f>
        <v>157.47030153153645</v>
      </c>
      <c r="E44" s="43">
        <f>IF(E$37&lt;=$A44,"n.m.",(NPV(E$37,$B$5:$G$5)*(1+E$37)^(0.5*Inputs!$B$18)+IF(Inputs!$B$19=1,Forecast!$H$14*(1+$A44)*(1-$A44/Inputs!$B$20),$G$5*(1+$A44))/(E$37-$A44)/(1+E$37)^6-Inputs!$B$8-Inputs!$B$9)/Inputs!$B$7/Inputs!$B$6)</f>
        <v>141.54184050636255</v>
      </c>
      <c r="F44" s="43">
        <f>IF(F$37&lt;=$A44,"n.m.",(NPV(F$37,$B$5:$G$5)*(1+F$37)^(0.5*Inputs!$B$18)+IF(Inputs!$B$19=1,Forecast!$H$14*(1+$A44)*(1-$A44/Inputs!$B$20),$G$5*(1+$A44))/(F$37-$A44)/(1+F$37)^6-Inputs!$B$8-Inputs!$B$9)/Inputs!$B$7/Inputs!$B$6)</f>
        <v>128.14157954072147</v>
      </c>
      <c r="G44" s="43">
        <f>IF(G$37&lt;=$A44,"n.m.",(NPV(G$37,$B$5:$G$5)*(1+G$37)^(0.5*Inputs!$B$18)+IF(Inputs!$B$19=1,Forecast!$H$14*(1+$A44)*(1-$A44/Inputs!$B$20),$G$5*(1+$A44))/(G$37-$A44)/(1+G$37)^6-Inputs!$B$8-Inputs!$B$9)/Inputs!$B$7/Inputs!$B$6)</f>
        <v>116.71502189047831</v>
      </c>
      <c r="H44" s="43">
        <f>IF(H$37&lt;=$A44,"n.m.",(NPV(H$37,$B$5:$G$5)*(1+H$37)^(0.5*Inputs!$B$18)+IF(Inputs!$B$19=1,Forecast!$H$14*(1+$A44)*(1-$A44/Inputs!$B$20),$G$5*(1+$A44))/(H$37-$A44)/(1+H$37)^6-Inputs!$B$8-Inputs!$B$9)/Inputs!$B$7/Inputs!$B$6)</f>
        <v>106.8586798912272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5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0" customWidth="1"/>
    <col min="2" max="10" width="13" customWidth="1"/>
  </cols>
  <sheetData>
    <row r="1" spans="1:10" ht="18" x14ac:dyDescent="0.4">
      <c r="A1" s="1" t="s">
        <v>145</v>
      </c>
    </row>
    <row r="2" spans="1:10" x14ac:dyDescent="0.35">
      <c r="A2" s="2" t="s">
        <v>146</v>
      </c>
    </row>
    <row r="4" spans="1:10" x14ac:dyDescent="0.35">
      <c r="A4" s="13" t="s">
        <v>147</v>
      </c>
      <c r="B4" s="14" t="s">
        <v>148</v>
      </c>
      <c r="C4" s="14" t="s">
        <v>149</v>
      </c>
      <c r="D4" s="14" t="s">
        <v>150</v>
      </c>
      <c r="E4" s="14" t="s">
        <v>151</v>
      </c>
      <c r="F4" s="14" t="s">
        <v>152</v>
      </c>
      <c r="G4" s="14" t="s">
        <v>10</v>
      </c>
      <c r="H4" s="14" t="s">
        <v>11</v>
      </c>
      <c r="I4" s="14" t="s">
        <v>153</v>
      </c>
      <c r="J4" s="14" t="s">
        <v>154</v>
      </c>
    </row>
    <row r="5" spans="1:10" x14ac:dyDescent="0.35">
      <c r="A5" s="3" t="s">
        <v>155</v>
      </c>
      <c r="B5" s="19">
        <v>0.25</v>
      </c>
      <c r="C5" s="19">
        <v>-0.02</v>
      </c>
      <c r="D5" s="19">
        <v>-1.4999999999999999E-2</v>
      </c>
      <c r="E5" s="21">
        <v>5.0000000000000001E-3</v>
      </c>
      <c r="F5" s="21">
        <v>-2.5000000000000001E-3</v>
      </c>
      <c r="G5" s="33">
        <f>WACC!$B$17+E5</f>
        <v>9.0945104064214438E-2</v>
      </c>
      <c r="H5" s="33">
        <f>Inputs!$B$11+F5</f>
        <v>1.7500000000000002E-2</v>
      </c>
      <c r="I5" s="45">
        <f>B25</f>
        <v>83.957612339117489</v>
      </c>
      <c r="J5" s="34">
        <f>I5/Inputs!$B$5-1</f>
        <v>-0.29328609142156992</v>
      </c>
    </row>
    <row r="6" spans="1:10" x14ac:dyDescent="0.35">
      <c r="A6" s="3" t="s">
        <v>156</v>
      </c>
      <c r="B6" s="19">
        <v>0.5</v>
      </c>
      <c r="C6" s="19">
        <v>0</v>
      </c>
      <c r="D6" s="19">
        <v>0</v>
      </c>
      <c r="E6" s="21">
        <v>0</v>
      </c>
      <c r="F6" s="21">
        <v>0</v>
      </c>
      <c r="G6" s="33">
        <f>WACC!$B$17+E6</f>
        <v>8.5945104064214434E-2</v>
      </c>
      <c r="H6" s="33">
        <f>Inputs!$B$11+F6</f>
        <v>0.02</v>
      </c>
      <c r="I6" s="45">
        <f>B40</f>
        <v>126.74135132201357</v>
      </c>
      <c r="J6" s="34">
        <f>I6/Inputs!$B$5-1</f>
        <v>6.6846391599440835E-2</v>
      </c>
    </row>
    <row r="7" spans="1:10" x14ac:dyDescent="0.35">
      <c r="A7" s="3" t="s">
        <v>157</v>
      </c>
      <c r="B7" s="19">
        <v>0.25</v>
      </c>
      <c r="C7" s="19">
        <v>0.02</v>
      </c>
      <c r="D7" s="19">
        <v>1.4999999999999999E-2</v>
      </c>
      <c r="E7" s="21">
        <v>-5.0000000000000001E-3</v>
      </c>
      <c r="F7" s="21">
        <v>2.5000000000000001E-3</v>
      </c>
      <c r="G7" s="33">
        <f>WACC!$B$17+E7</f>
        <v>8.0945104064214429E-2</v>
      </c>
      <c r="H7" s="33">
        <f>Inputs!$B$11+F7</f>
        <v>2.2499999999999999E-2</v>
      </c>
      <c r="I7" s="45">
        <f>B55</f>
        <v>186.22650630510276</v>
      </c>
      <c r="J7" s="34">
        <f>I7/Inputs!$B$5-1</f>
        <v>0.56756318438638687</v>
      </c>
    </row>
    <row r="8" spans="1:10" x14ac:dyDescent="0.35">
      <c r="A8" s="3" t="s">
        <v>158</v>
      </c>
      <c r="B8" s="40">
        <f>SUM(B5:B7)</f>
        <v>1</v>
      </c>
      <c r="I8" s="39">
        <f>IFERROR(SUMPRODUCT(B5:B7,I5:I7)/B8,"")</f>
        <v>130.91670532206183</v>
      </c>
      <c r="J8" s="40">
        <f>IFERROR(I8/Inputs!$B$5-1,"")</f>
        <v>0.10199246904092463</v>
      </c>
    </row>
    <row r="12" spans="1:10" x14ac:dyDescent="0.35">
      <c r="A12" s="9" t="s">
        <v>159</v>
      </c>
      <c r="B12" s="46" t="str">
        <f>Forecast!B4</f>
        <v>2025A</v>
      </c>
      <c r="C12" s="14" t="s">
        <v>64</v>
      </c>
      <c r="D12" s="14" t="s">
        <v>65</v>
      </c>
      <c r="E12" s="14" t="s">
        <v>66</v>
      </c>
      <c r="F12" s="14" t="s">
        <v>67</v>
      </c>
      <c r="G12" s="14" t="s">
        <v>68</v>
      </c>
      <c r="H12" s="14" t="s">
        <v>69</v>
      </c>
    </row>
    <row r="13" spans="1:10" x14ac:dyDescent="0.35">
      <c r="A13" s="25" t="s">
        <v>70</v>
      </c>
      <c r="C13" s="26">
        <f>Inputs!B31+$C$5</f>
        <v>5.239999599999999E-2</v>
      </c>
      <c r="D13" s="26">
        <f>Inputs!C31+$C$5</f>
        <v>4.0500002999999993E-2</v>
      </c>
      <c r="E13" s="26">
        <f>Inputs!D31+$C$5</f>
        <v>3.0375002249999988E-2</v>
      </c>
      <c r="F13" s="26">
        <f>Inputs!E31+$C$5</f>
        <v>2.02500015E-2</v>
      </c>
      <c r="G13" s="26">
        <f>Inputs!F31+$C$5</f>
        <v>1.0125000749999998E-2</v>
      </c>
      <c r="H13" s="26">
        <f>Inputs!G31+$C$5</f>
        <v>0</v>
      </c>
    </row>
    <row r="14" spans="1:10" x14ac:dyDescent="0.35">
      <c r="A14" s="3" t="s">
        <v>84</v>
      </c>
      <c r="B14" s="31">
        <f>Forecast!B6</f>
        <v>3944.569</v>
      </c>
      <c r="C14" s="27">
        <f t="shared" ref="C14:H14" si="0">B14*(1+C13)</f>
        <v>4151.2643998217236</v>
      </c>
      <c r="D14" s="27">
        <f t="shared" si="0"/>
        <v>4319.3906204682962</v>
      </c>
      <c r="E14" s="27">
        <f t="shared" si="0"/>
        <v>4450.5921202836498</v>
      </c>
      <c r="F14" s="27">
        <f t="shared" si="0"/>
        <v>4540.7166173952819</v>
      </c>
      <c r="G14" s="27">
        <f t="shared" si="0"/>
        <v>4586.6913765519466</v>
      </c>
      <c r="H14" s="27">
        <f t="shared" si="0"/>
        <v>4586.6913765519466</v>
      </c>
    </row>
    <row r="15" spans="1:10" x14ac:dyDescent="0.35">
      <c r="A15" s="25" t="s">
        <v>71</v>
      </c>
      <c r="C15" s="26">
        <f>Inputs!B32+$D$5</f>
        <v>0.11302127279350331</v>
      </c>
      <c r="D15" s="26">
        <f>Inputs!C32+$D$5</f>
        <v>0.1181158836373742</v>
      </c>
      <c r="E15" s="26">
        <f>Inputs!D32+$D$5</f>
        <v>0.12321049448124501</v>
      </c>
      <c r="F15" s="26">
        <f>Inputs!E32+$D$5</f>
        <v>0.1283051053251158</v>
      </c>
      <c r="G15" s="26">
        <f>Inputs!F32+$D$5</f>
        <v>0.13339971616898672</v>
      </c>
      <c r="H15" s="26">
        <f>Inputs!G32+$D$5</f>
        <v>0.13849432701285752</v>
      </c>
    </row>
    <row r="16" spans="1:10" x14ac:dyDescent="0.35">
      <c r="A16" s="3" t="s">
        <v>88</v>
      </c>
      <c r="C16" s="27">
        <f t="shared" ref="C16:H16" si="1">C14*C15</f>
        <v>469.1811861702098</v>
      </c>
      <c r="D16" s="27">
        <f t="shared" si="1"/>
        <v>510.18863991159884</v>
      </c>
      <c r="E16" s="27">
        <f t="shared" si="1"/>
        <v>548.35965587448118</v>
      </c>
      <c r="F16" s="27">
        <f t="shared" si="1"/>
        <v>582.59712384640522</v>
      </c>
      <c r="G16" s="27">
        <f t="shared" si="1"/>
        <v>611.86332778676865</v>
      </c>
      <c r="H16" s="27">
        <f t="shared" si="1"/>
        <v>635.23073541123892</v>
      </c>
    </row>
    <row r="17" spans="1:8" x14ac:dyDescent="0.35">
      <c r="A17" s="11" t="s">
        <v>91</v>
      </c>
      <c r="C17" s="28">
        <f>C14*Inputs!B33</f>
        <v>141.61242584957719</v>
      </c>
      <c r="D17" s="28">
        <f>D14*Inputs!C33</f>
        <v>147.34772952132232</v>
      </c>
      <c r="E17" s="28">
        <f>E14*Inputs!D33</f>
        <v>151.82341713706489</v>
      </c>
      <c r="F17" s="28">
        <f>F14*Inputs!E33</f>
        <v>154.89784156182557</v>
      </c>
      <c r="G17" s="28">
        <f>G14*Inputs!F33</f>
        <v>156.46618232381243</v>
      </c>
      <c r="H17" s="28">
        <f>H14*Inputs!G33</f>
        <v>156.46618232381243</v>
      </c>
    </row>
    <row r="18" spans="1:8" x14ac:dyDescent="0.35">
      <c r="A18" s="11" t="s">
        <v>92</v>
      </c>
      <c r="C18" s="28">
        <f t="shared" ref="C18:H18" si="2">C16-C17</f>
        <v>327.56876032063258</v>
      </c>
      <c r="D18" s="28">
        <f t="shared" si="2"/>
        <v>362.84091039027652</v>
      </c>
      <c r="E18" s="28">
        <f t="shared" si="2"/>
        <v>396.53623873741628</v>
      </c>
      <c r="F18" s="28">
        <f t="shared" si="2"/>
        <v>427.69928228457968</v>
      </c>
      <c r="G18" s="28">
        <f t="shared" si="2"/>
        <v>455.39714546295625</v>
      </c>
      <c r="H18" s="28">
        <f t="shared" si="2"/>
        <v>478.76455308742652</v>
      </c>
    </row>
    <row r="19" spans="1:8" x14ac:dyDescent="0.35">
      <c r="A19" s="11" t="s">
        <v>111</v>
      </c>
      <c r="C19" s="28">
        <f>-MAX(C18,0)*Inputs!$B$10</f>
        <v>-72.065127270539165</v>
      </c>
      <c r="D19" s="28">
        <f>-MAX(D18,0)*Inputs!$B$10</f>
        <v>-79.825000285860838</v>
      </c>
      <c r="E19" s="28">
        <f>-MAX(E18,0)*Inputs!$B$10</f>
        <v>-87.237972522231587</v>
      </c>
      <c r="F19" s="28">
        <f>-MAX(F18,0)*Inputs!$B$10</f>
        <v>-94.093842102607525</v>
      </c>
      <c r="G19" s="28">
        <f>-MAX(G18,0)*Inputs!$B$10</f>
        <v>-100.18737200185038</v>
      </c>
      <c r="H19" s="28">
        <f>-MAX(H18,0)*Inputs!$B$10</f>
        <v>-105.32820167923383</v>
      </c>
    </row>
    <row r="20" spans="1:8" x14ac:dyDescent="0.35">
      <c r="A20" s="11" t="s">
        <v>95</v>
      </c>
      <c r="C20" s="28">
        <f t="shared" ref="C20:H20" si="3">C18+C19</f>
        <v>255.50363305009341</v>
      </c>
      <c r="D20" s="28">
        <f t="shared" si="3"/>
        <v>283.0159101044157</v>
      </c>
      <c r="E20" s="28">
        <f t="shared" si="3"/>
        <v>309.2982662151847</v>
      </c>
      <c r="F20" s="28">
        <f t="shared" si="3"/>
        <v>333.60544018197214</v>
      </c>
      <c r="G20" s="28">
        <f t="shared" si="3"/>
        <v>355.2097734611059</v>
      </c>
      <c r="H20" s="28">
        <f t="shared" si="3"/>
        <v>373.43635140819271</v>
      </c>
    </row>
    <row r="21" spans="1:8" x14ac:dyDescent="0.35">
      <c r="A21" s="11" t="s">
        <v>96</v>
      </c>
      <c r="C21" s="28">
        <f>-C14*Inputs!B34</f>
        <v>-231.63830054955054</v>
      </c>
      <c r="D21" s="28">
        <f>-D14*Inputs!C34</f>
        <v>-223.75874513285541</v>
      </c>
      <c r="E21" s="28">
        <f>-E14*Inputs!D34</f>
        <v>-212.77021013827186</v>
      </c>
      <c r="F21" s="28">
        <f>-F14*Inputs!E34</f>
        <v>-198.93344935512374</v>
      </c>
      <c r="G21" s="28">
        <f>-G14*Inputs!F34</f>
        <v>-182.61857105952379</v>
      </c>
      <c r="H21" s="28">
        <f>-H14*Inputs!G34</f>
        <v>-164.28949144000308</v>
      </c>
    </row>
    <row r="22" spans="1:8" x14ac:dyDescent="0.35">
      <c r="A22" s="11" t="s">
        <v>97</v>
      </c>
      <c r="C22" s="28">
        <f>-Inputs!B35*(C14-B14)</f>
        <v>-8.0589314228409599</v>
      </c>
      <c r="D22" s="28">
        <f>-Inputs!C35*(D14-C14)</f>
        <v>-6.5551419322383735</v>
      </c>
      <c r="E22" s="28">
        <f>-Inputs!D35*(E14-D14)</f>
        <v>-5.115468900119609</v>
      </c>
      <c r="F22" s="28">
        <f>-Inputs!E35*(F14-E14)</f>
        <v>-3.5139008529803593</v>
      </c>
      <c r="G22" s="28">
        <f>-Inputs!F35*(G14-F14)</f>
        <v>-1.7925286752620331</v>
      </c>
      <c r="H22" s="28">
        <f>-Inputs!G35*(H14-G14)</f>
        <v>0</v>
      </c>
    </row>
    <row r="23" spans="1:8" x14ac:dyDescent="0.35">
      <c r="A23" s="3" t="s">
        <v>98</v>
      </c>
      <c r="C23" s="27">
        <f t="shared" ref="C23:H23" si="4">C20+C17+C21+C22</f>
        <v>157.41882692727913</v>
      </c>
      <c r="D23" s="27">
        <f t="shared" si="4"/>
        <v>200.04975256064424</v>
      </c>
      <c r="E23" s="27">
        <f t="shared" si="4"/>
        <v>243.23600431385813</v>
      </c>
      <c r="F23" s="27">
        <f t="shared" si="4"/>
        <v>286.05593153569362</v>
      </c>
      <c r="G23" s="27">
        <f t="shared" si="4"/>
        <v>327.26485605013249</v>
      </c>
      <c r="H23" s="27">
        <f t="shared" si="4"/>
        <v>365.61304229200209</v>
      </c>
    </row>
    <row r="24" spans="1:8" x14ac:dyDescent="0.35">
      <c r="A24" s="11" t="s">
        <v>131</v>
      </c>
      <c r="B24" s="28">
        <f>NPV($G$5,$C$23:$H$23)*(1+$G$5)^(0.5*Inputs!$B$18)+IF(Inputs!$B$19=1,$H$20*(1+$H$5)*(1-$H$5/Inputs!$B$20),$H$23*(1+$H$5))/($G$5-$H$5)/(1+$G$5)^6</f>
        <v>4134.842754656629</v>
      </c>
    </row>
    <row r="25" spans="1:8" x14ac:dyDescent="0.35">
      <c r="A25" s="3" t="s">
        <v>153</v>
      </c>
      <c r="B25" s="45">
        <f>(B24-Inputs!$B$8-Inputs!$B$9)/Inputs!$B$7/Inputs!$B$6</f>
        <v>83.957612339117489</v>
      </c>
    </row>
    <row r="27" spans="1:8" x14ac:dyDescent="0.35">
      <c r="A27" s="9" t="s">
        <v>160</v>
      </c>
      <c r="B27" s="46" t="str">
        <f>Forecast!B4</f>
        <v>2025A</v>
      </c>
      <c r="C27" s="14" t="s">
        <v>64</v>
      </c>
      <c r="D27" s="14" t="s">
        <v>65</v>
      </c>
      <c r="E27" s="14" t="s">
        <v>66</v>
      </c>
      <c r="F27" s="14" t="s">
        <v>67</v>
      </c>
      <c r="G27" s="14" t="s">
        <v>68</v>
      </c>
      <c r="H27" s="14" t="s">
        <v>69</v>
      </c>
    </row>
    <row r="28" spans="1:8" x14ac:dyDescent="0.35">
      <c r="A28" s="25" t="s">
        <v>70</v>
      </c>
      <c r="C28" s="26">
        <f>Inputs!B31+$C$6</f>
        <v>7.2399995999999994E-2</v>
      </c>
      <c r="D28" s="26">
        <f>Inputs!C31+$C$6</f>
        <v>6.0500002999999997E-2</v>
      </c>
      <c r="E28" s="26">
        <f>Inputs!D31+$C$6</f>
        <v>5.0375002249999988E-2</v>
      </c>
      <c r="F28" s="26">
        <f>Inputs!E31+$C$6</f>
        <v>4.02500015E-2</v>
      </c>
      <c r="G28" s="26">
        <f>Inputs!F31+$C$6</f>
        <v>3.0125000749999999E-2</v>
      </c>
      <c r="H28" s="26">
        <f>Inputs!G31+$C$6</f>
        <v>0.02</v>
      </c>
    </row>
    <row r="29" spans="1:8" x14ac:dyDescent="0.35">
      <c r="A29" s="3" t="s">
        <v>84</v>
      </c>
      <c r="B29" s="31">
        <f>Forecast!B6</f>
        <v>3944.569</v>
      </c>
      <c r="C29" s="27">
        <f t="shared" ref="C29:H29" si="5">B29*(1+C28)</f>
        <v>4230.1557798217236</v>
      </c>
      <c r="D29" s="27">
        <f t="shared" si="5"/>
        <v>4486.0802171914056</v>
      </c>
      <c r="E29" s="27">
        <f t="shared" si="5"/>
        <v>4712.0665182261037</v>
      </c>
      <c r="F29" s="27">
        <f t="shared" si="5"/>
        <v>4901.7272026528044</v>
      </c>
      <c r="G29" s="27">
        <f t="shared" si="5"/>
        <v>5049.3917383090156</v>
      </c>
      <c r="H29" s="27">
        <f t="shared" si="5"/>
        <v>5150.3795730751963</v>
      </c>
    </row>
    <row r="30" spans="1:8" x14ac:dyDescent="0.35">
      <c r="A30" s="25" t="s">
        <v>71</v>
      </c>
      <c r="C30" s="26">
        <f>Inputs!B32+$D$6</f>
        <v>0.12802127279350331</v>
      </c>
      <c r="D30" s="26">
        <f>Inputs!C32+$D$6</f>
        <v>0.1331158836373742</v>
      </c>
      <c r="E30" s="26">
        <f>Inputs!D32+$D$6</f>
        <v>0.13821049448124501</v>
      </c>
      <c r="F30" s="26">
        <f>Inputs!E32+$D$6</f>
        <v>0.14330510532511581</v>
      </c>
      <c r="G30" s="26">
        <f>Inputs!F32+$D$6</f>
        <v>0.1483997161689867</v>
      </c>
      <c r="H30" s="26">
        <f>Inputs!G32+$D$6</f>
        <v>0.15349432701285751</v>
      </c>
    </row>
    <row r="31" spans="1:8" x14ac:dyDescent="0.35">
      <c r="A31" s="3" t="s">
        <v>88</v>
      </c>
      <c r="C31" s="27">
        <f t="shared" ref="C31:H31" si="6">C29*C30</f>
        <v>541.5499270475716</v>
      </c>
      <c r="D31" s="27">
        <f t="shared" si="6"/>
        <v>597.16853217957748</v>
      </c>
      <c r="E31" s="27">
        <f t="shared" si="6"/>
        <v>651.25704351254831</v>
      </c>
      <c r="F31" s="27">
        <f t="shared" si="6"/>
        <v>702.44253305114546</v>
      </c>
      <c r="G31" s="27">
        <f t="shared" si="6"/>
        <v>749.3283007910843</v>
      </c>
      <c r="H31" s="27">
        <f t="shared" si="6"/>
        <v>790.55404642994563</v>
      </c>
    </row>
    <row r="32" spans="1:8" x14ac:dyDescent="0.35">
      <c r="A32" s="11" t="s">
        <v>91</v>
      </c>
      <c r="C32" s="28">
        <f>C29*Inputs!B33</f>
        <v>144.30365402114356</v>
      </c>
      <c r="D32" s="28">
        <f>D29*Inputs!C33</f>
        <v>153.03402552233374</v>
      </c>
      <c r="E32" s="28">
        <f>E29*Inputs!D33</f>
        <v>160.74311490234786</v>
      </c>
      <c r="F32" s="28">
        <f>F29*Inputs!E33</f>
        <v>167.21302551828205</v>
      </c>
      <c r="G32" s="28">
        <f>G29*Inputs!F33</f>
        <v>172.25031803743005</v>
      </c>
      <c r="H32" s="28">
        <f>H29*Inputs!G33</f>
        <v>175.69532439817868</v>
      </c>
    </row>
    <row r="33" spans="1:8" x14ac:dyDescent="0.35">
      <c r="A33" s="11" t="s">
        <v>92</v>
      </c>
      <c r="C33" s="28">
        <f t="shared" ref="C33:H33" si="7">C31-C32</f>
        <v>397.24627302642807</v>
      </c>
      <c r="D33" s="28">
        <f t="shared" si="7"/>
        <v>444.13450665724372</v>
      </c>
      <c r="E33" s="28">
        <f t="shared" si="7"/>
        <v>490.51392861020042</v>
      </c>
      <c r="F33" s="28">
        <f t="shared" si="7"/>
        <v>535.22950753286341</v>
      </c>
      <c r="G33" s="28">
        <f t="shared" si="7"/>
        <v>577.07798275365428</v>
      </c>
      <c r="H33" s="28">
        <f t="shared" si="7"/>
        <v>614.858722031767</v>
      </c>
    </row>
    <row r="34" spans="1:8" x14ac:dyDescent="0.35">
      <c r="A34" s="11" t="s">
        <v>111</v>
      </c>
      <c r="C34" s="28">
        <f>-MAX(C33,0)*Inputs!$B$10</f>
        <v>-87.394180065814183</v>
      </c>
      <c r="D34" s="28">
        <f>-MAX(D33,0)*Inputs!$B$10</f>
        <v>-97.709591464593615</v>
      </c>
      <c r="E34" s="28">
        <f>-MAX(E33,0)*Inputs!$B$10</f>
        <v>-107.91306429424409</v>
      </c>
      <c r="F34" s="28">
        <f>-MAX(F33,0)*Inputs!$B$10</f>
        <v>-117.75049165722994</v>
      </c>
      <c r="G34" s="28">
        <f>-MAX(G33,0)*Inputs!$B$10</f>
        <v>-126.95715620580394</v>
      </c>
      <c r="H34" s="28">
        <f>-MAX(H33,0)*Inputs!$B$10</f>
        <v>-135.26891884698875</v>
      </c>
    </row>
    <row r="35" spans="1:8" x14ac:dyDescent="0.35">
      <c r="A35" s="11" t="s">
        <v>95</v>
      </c>
      <c r="C35" s="28">
        <f t="shared" ref="C35:H35" si="8">C33+C34</f>
        <v>309.8520929606139</v>
      </c>
      <c r="D35" s="28">
        <f t="shared" si="8"/>
        <v>346.42491519265013</v>
      </c>
      <c r="E35" s="28">
        <f t="shared" si="8"/>
        <v>382.6008643159563</v>
      </c>
      <c r="F35" s="28">
        <f t="shared" si="8"/>
        <v>417.47901587563348</v>
      </c>
      <c r="G35" s="28">
        <f t="shared" si="8"/>
        <v>450.12082654785036</v>
      </c>
      <c r="H35" s="28">
        <f t="shared" si="8"/>
        <v>479.58980318477825</v>
      </c>
    </row>
    <row r="36" spans="1:8" x14ac:dyDescent="0.35">
      <c r="A36" s="11" t="s">
        <v>96</v>
      </c>
      <c r="C36" s="28">
        <f>-C29*Inputs!B34</f>
        <v>-236.04039673788139</v>
      </c>
      <c r="D36" s="28">
        <f>-D29*Inputs!C34</f>
        <v>-232.39381851860557</v>
      </c>
      <c r="E36" s="28">
        <f>-E29*Inputs!D34</f>
        <v>-225.27056089889118</v>
      </c>
      <c r="F36" s="28">
        <f>-F29*Inputs!E34</f>
        <v>-214.74969314005031</v>
      </c>
      <c r="G36" s="28">
        <f>-G29*Inputs!F34</f>
        <v>-201.0409308731291</v>
      </c>
      <c r="H36" s="28">
        <f>-H29*Inputs!G34</f>
        <v>-184.48009061808762</v>
      </c>
    </row>
    <row r="37" spans="1:8" x14ac:dyDescent="0.35">
      <c r="A37" s="11" t="s">
        <v>97</v>
      </c>
      <c r="C37" s="28">
        <f>-Inputs!B35*(C29-B29)</f>
        <v>-11.134859681629749</v>
      </c>
      <c r="D37" s="28">
        <f>-Inputs!C35*(D29-C29)</f>
        <v>-9.9783424883685168</v>
      </c>
      <c r="E37" s="28">
        <f>-Inputs!D35*(E29-D29)</f>
        <v>-8.8110722546845768</v>
      </c>
      <c r="F37" s="28">
        <f>-Inputs!E35*(F29-E29)</f>
        <v>-7.3947579419869642</v>
      </c>
      <c r="G37" s="28">
        <f>-Inputs!F35*(G29-F29)</f>
        <v>-5.7573529331831281</v>
      </c>
      <c r="H37" s="28">
        <f>-Inputs!G35*(H29-G29)</f>
        <v>-3.93745596478586</v>
      </c>
    </row>
    <row r="38" spans="1:8" x14ac:dyDescent="0.35">
      <c r="A38" s="3" t="s">
        <v>98</v>
      </c>
      <c r="C38" s="27">
        <f t="shared" ref="C38:H38" si="9">C35+C32+C36+C37</f>
        <v>206.98049056224636</v>
      </c>
      <c r="D38" s="27">
        <f t="shared" si="9"/>
        <v>257.08677970800977</v>
      </c>
      <c r="E38" s="27">
        <f t="shared" si="9"/>
        <v>309.26234606472843</v>
      </c>
      <c r="F38" s="27">
        <f t="shared" si="9"/>
        <v>362.54759031187831</v>
      </c>
      <c r="G38" s="27">
        <f t="shared" si="9"/>
        <v>415.57286077896811</v>
      </c>
      <c r="H38" s="27">
        <f t="shared" si="9"/>
        <v>466.86758100008342</v>
      </c>
    </row>
    <row r="39" spans="1:8" x14ac:dyDescent="0.35">
      <c r="A39" s="11" t="s">
        <v>131</v>
      </c>
      <c r="B39" s="28">
        <f>NPV($G$6,$C$38:$H$38)*(1+$G$6)^(0.5*Inputs!$B$18)+IF(Inputs!$B$19=1,$H$35*(1+$H$6)*(1-$H$6/Inputs!$B$20),$H$38*(1+$H$6))/($G$6-$H$6)/(1+$G$6)^6</f>
        <v>5873.794756582156</v>
      </c>
    </row>
    <row r="40" spans="1:8" x14ac:dyDescent="0.35">
      <c r="A40" s="3" t="s">
        <v>153</v>
      </c>
      <c r="B40" s="45">
        <f>(B39-Inputs!$B$8-Inputs!$B$9)/Inputs!$B$7/Inputs!$B$6</f>
        <v>126.74135132201357</v>
      </c>
    </row>
    <row r="42" spans="1:8" x14ac:dyDescent="0.35">
      <c r="A42" s="9" t="s">
        <v>161</v>
      </c>
      <c r="B42" s="46" t="str">
        <f>Forecast!B4</f>
        <v>2025A</v>
      </c>
      <c r="C42" s="14" t="s">
        <v>64</v>
      </c>
      <c r="D42" s="14" t="s">
        <v>65</v>
      </c>
      <c r="E42" s="14" t="s">
        <v>66</v>
      </c>
      <c r="F42" s="14" t="s">
        <v>67</v>
      </c>
      <c r="G42" s="14" t="s">
        <v>68</v>
      </c>
      <c r="H42" s="14" t="s">
        <v>69</v>
      </c>
    </row>
    <row r="43" spans="1:8" x14ac:dyDescent="0.35">
      <c r="A43" s="25" t="s">
        <v>70</v>
      </c>
      <c r="C43" s="26">
        <f>Inputs!B31+$C$7</f>
        <v>9.2399995999999998E-2</v>
      </c>
      <c r="D43" s="26">
        <f>Inputs!C31+$C$7</f>
        <v>8.0500003000000001E-2</v>
      </c>
      <c r="E43" s="26">
        <f>Inputs!D31+$C$7</f>
        <v>7.0375002249999985E-2</v>
      </c>
      <c r="F43" s="26">
        <f>Inputs!E31+$C$7</f>
        <v>6.0250001499999997E-2</v>
      </c>
      <c r="G43" s="26">
        <f>Inputs!F31+$C$7</f>
        <v>5.0125000749999996E-2</v>
      </c>
      <c r="H43" s="26">
        <f>Inputs!G31+$C$7</f>
        <v>0.04</v>
      </c>
    </row>
    <row r="44" spans="1:8" x14ac:dyDescent="0.35">
      <c r="A44" s="3" t="s">
        <v>84</v>
      </c>
      <c r="B44" s="31">
        <f>Forecast!B6</f>
        <v>3944.569</v>
      </c>
      <c r="C44" s="27">
        <f t="shared" ref="C44:H44" si="10">B44*(1+C43)</f>
        <v>4309.0471598217237</v>
      </c>
      <c r="D44" s="27">
        <f t="shared" si="10"/>
        <v>4655.9254691145143</v>
      </c>
      <c r="E44" s="27">
        <f t="shared" si="10"/>
        <v>4983.5862344792804</v>
      </c>
      <c r="F44" s="27">
        <f t="shared" si="10"/>
        <v>5283.8473125820365</v>
      </c>
      <c r="G44" s="27">
        <f t="shared" si="10"/>
        <v>5548.7001630880968</v>
      </c>
      <c r="H44" s="27">
        <f t="shared" si="10"/>
        <v>5770.6481696116207</v>
      </c>
    </row>
    <row r="45" spans="1:8" x14ac:dyDescent="0.35">
      <c r="A45" s="25" t="s">
        <v>71</v>
      </c>
      <c r="C45" s="26">
        <f>Inputs!B32+$D$7</f>
        <v>0.1430212727935033</v>
      </c>
      <c r="D45" s="26">
        <f>Inputs!C32+$D$7</f>
        <v>0.14811588363737421</v>
      </c>
      <c r="E45" s="26">
        <f>Inputs!D32+$D$7</f>
        <v>0.15321049448124502</v>
      </c>
      <c r="F45" s="26">
        <f>Inputs!E32+$D$7</f>
        <v>0.15830510532511582</v>
      </c>
      <c r="G45" s="26">
        <f>Inputs!F32+$D$7</f>
        <v>0.16339971616898669</v>
      </c>
      <c r="H45" s="26">
        <f>Inputs!G32+$D$7</f>
        <v>0.16849432701285749</v>
      </c>
    </row>
    <row r="46" spans="1:8" x14ac:dyDescent="0.35">
      <c r="A46" s="3" t="s">
        <v>88</v>
      </c>
      <c r="C46" s="27">
        <f t="shared" ref="C46:H46" si="11">C44*C45</f>
        <v>616.28540932493331</v>
      </c>
      <c r="D46" s="27">
        <f t="shared" si="11"/>
        <v>689.61651500765231</v>
      </c>
      <c r="E46" s="27">
        <f t="shared" si="11"/>
        <v>763.53771127449647</v>
      </c>
      <c r="F46" s="27">
        <f t="shared" si="11"/>
        <v>836.46000534012944</v>
      </c>
      <c r="G46" s="27">
        <f t="shared" si="11"/>
        <v>906.65603175540514</v>
      </c>
      <c r="H46" s="27">
        <f t="shared" si="11"/>
        <v>972.32147976668796</v>
      </c>
    </row>
    <row r="47" spans="1:8" x14ac:dyDescent="0.35">
      <c r="A47" s="11" t="s">
        <v>91</v>
      </c>
      <c r="C47" s="28">
        <f>C44*Inputs!B33</f>
        <v>146.99488219270995</v>
      </c>
      <c r="D47" s="28">
        <f>D44*Inputs!C33</f>
        <v>158.82797065020776</v>
      </c>
      <c r="E47" s="28">
        <f>E44*Inputs!D33</f>
        <v>170.00548944207904</v>
      </c>
      <c r="F47" s="28">
        <f>F44*Inputs!E33</f>
        <v>180.24832043597254</v>
      </c>
      <c r="G47" s="28">
        <f>G44*Inputs!F33</f>
        <v>189.28326763301192</v>
      </c>
      <c r="H47" s="28">
        <f>H44*Inputs!G33</f>
        <v>196.85459833833241</v>
      </c>
    </row>
    <row r="48" spans="1:8" x14ac:dyDescent="0.35">
      <c r="A48" s="11" t="s">
        <v>92</v>
      </c>
      <c r="C48" s="28">
        <f t="shared" ref="C48:H48" si="12">C46-C47</f>
        <v>469.29052713222336</v>
      </c>
      <c r="D48" s="28">
        <f t="shared" si="12"/>
        <v>530.78854435744461</v>
      </c>
      <c r="E48" s="28">
        <f t="shared" si="12"/>
        <v>593.53222183241746</v>
      </c>
      <c r="F48" s="28">
        <f t="shared" si="12"/>
        <v>656.21168490415687</v>
      </c>
      <c r="G48" s="28">
        <f t="shared" si="12"/>
        <v>717.37276412239316</v>
      </c>
      <c r="H48" s="28">
        <f t="shared" si="12"/>
        <v>775.46688142835558</v>
      </c>
    </row>
    <row r="49" spans="1:8" x14ac:dyDescent="0.35">
      <c r="A49" s="11" t="s">
        <v>111</v>
      </c>
      <c r="C49" s="28">
        <f>-MAX(C48,0)*Inputs!$B$10</f>
        <v>-103.24391596908914</v>
      </c>
      <c r="D49" s="28">
        <f>-MAX(D48,0)*Inputs!$B$10</f>
        <v>-116.77347975863782</v>
      </c>
      <c r="E49" s="28">
        <f>-MAX(E48,0)*Inputs!$B$10</f>
        <v>-130.57708880313183</v>
      </c>
      <c r="F49" s="28">
        <f>-MAX(F48,0)*Inputs!$B$10</f>
        <v>-144.36657067891451</v>
      </c>
      <c r="G49" s="28">
        <f>-MAX(G48,0)*Inputs!$B$10</f>
        <v>-157.82200810692649</v>
      </c>
      <c r="H49" s="28">
        <f>-MAX(H48,0)*Inputs!$B$10</f>
        <v>-170.60271391423822</v>
      </c>
    </row>
    <row r="50" spans="1:8" x14ac:dyDescent="0.35">
      <c r="A50" s="11" t="s">
        <v>95</v>
      </c>
      <c r="C50" s="28">
        <f t="shared" ref="C50:H50" si="13">C48+C49</f>
        <v>366.04661116313423</v>
      </c>
      <c r="D50" s="28">
        <f t="shared" si="13"/>
        <v>414.01506459880682</v>
      </c>
      <c r="E50" s="28">
        <f t="shared" si="13"/>
        <v>462.95513302928566</v>
      </c>
      <c r="F50" s="28">
        <f t="shared" si="13"/>
        <v>511.84511422524236</v>
      </c>
      <c r="G50" s="28">
        <f t="shared" si="13"/>
        <v>559.55075601546673</v>
      </c>
      <c r="H50" s="28">
        <f t="shared" si="13"/>
        <v>604.8641675141173</v>
      </c>
    </row>
    <row r="51" spans="1:8" x14ac:dyDescent="0.35">
      <c r="A51" s="11" t="s">
        <v>96</v>
      </c>
      <c r="C51" s="28">
        <f>-C44*Inputs!B34</f>
        <v>-240.44249292621225</v>
      </c>
      <c r="D51" s="28">
        <f>-D44*Inputs!C34</f>
        <v>-241.19236529902344</v>
      </c>
      <c r="E51" s="28">
        <f>-E44*Inputs!D34</f>
        <v>-238.25114989076457</v>
      </c>
      <c r="F51" s="28">
        <f>-F44*Inputs!E34</f>
        <v>-231.49076683863029</v>
      </c>
      <c r="G51" s="28">
        <f>-G44*Inputs!F34</f>
        <v>-220.92083635734863</v>
      </c>
      <c r="H51" s="28">
        <f>-H44*Inputs!G34</f>
        <v>-206.69732825524903</v>
      </c>
    </row>
    <row r="52" spans="1:8" x14ac:dyDescent="0.35">
      <c r="A52" s="11" t="s">
        <v>97</v>
      </c>
      <c r="C52" s="28">
        <f>-Inputs!B35*(C44-B44)</f>
        <v>-14.210787940418539</v>
      </c>
      <c r="D52" s="28">
        <f>-Inputs!C35*(D44-C44)</f>
        <v>-13.524580174850183</v>
      </c>
      <c r="E52" s="28">
        <f>-Inputs!D35*(E44-D44)</f>
        <v>-12.775299500171588</v>
      </c>
      <c r="F52" s="28">
        <f>-Inputs!E35*(F44-E44)</f>
        <v>-11.707001894892127</v>
      </c>
      <c r="G52" s="28">
        <f>-Inputs!F35*(G44-F44)</f>
        <v>-10.326456037305388</v>
      </c>
      <c r="H52" s="28">
        <f>-Inputs!G35*(H44-G44)</f>
        <v>-8.6536215394830904</v>
      </c>
    </row>
    <row r="53" spans="1:8" x14ac:dyDescent="0.35">
      <c r="A53" s="3" t="s">
        <v>98</v>
      </c>
      <c r="C53" s="27">
        <f t="shared" ref="C53:H53" si="14">C50+C47+C51+C52</f>
        <v>258.3882124892134</v>
      </c>
      <c r="D53" s="27">
        <f t="shared" si="14"/>
        <v>318.12608977514088</v>
      </c>
      <c r="E53" s="27">
        <f t="shared" si="14"/>
        <v>381.93417308042854</v>
      </c>
      <c r="F53" s="27">
        <f t="shared" si="14"/>
        <v>448.89566592769251</v>
      </c>
      <c r="G53" s="27">
        <f t="shared" si="14"/>
        <v>517.58673125382461</v>
      </c>
      <c r="H53" s="27">
        <f t="shared" si="14"/>
        <v>586.36781605771762</v>
      </c>
    </row>
    <row r="54" spans="1:8" x14ac:dyDescent="0.35">
      <c r="A54" s="11" t="s">
        <v>131</v>
      </c>
      <c r="B54" s="28">
        <f>NPV($G$7,$C$53:$H$53)*(1+$G$7)^(0.5*Inputs!$B$18)+IF(Inputs!$B$19=1,$H$50*(1+$H$7)*(1-$H$7/Inputs!$B$20),$H$53*(1+$H$7))/($G$7-$H$7)/(1+$G$7)^6</f>
        <v>8291.5785174649227</v>
      </c>
    </row>
    <row r="55" spans="1:8" x14ac:dyDescent="0.35">
      <c r="A55" s="3" t="s">
        <v>153</v>
      </c>
      <c r="B55" s="45">
        <f>(B54-Inputs!$B$8-Inputs!$B$9)/Inputs!$B$7/Inputs!$B$6</f>
        <v>186.22650630510276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6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4" customWidth="1"/>
    <col min="2" max="2" width="12" customWidth="1"/>
    <col min="3" max="3" width="18" customWidth="1"/>
    <col min="4" max="5" width="14" customWidth="1"/>
    <col min="6" max="12" width="12" customWidth="1"/>
  </cols>
  <sheetData>
    <row r="1" spans="1:12" ht="18" x14ac:dyDescent="0.4">
      <c r="A1" s="1" t="s">
        <v>162</v>
      </c>
    </row>
    <row r="2" spans="1:12" x14ac:dyDescent="0.35">
      <c r="A2" s="2" t="s">
        <v>163</v>
      </c>
    </row>
    <row r="4" spans="1:12" x14ac:dyDescent="0.35">
      <c r="A4" s="13" t="s">
        <v>164</v>
      </c>
      <c r="B4" s="13" t="s">
        <v>165</v>
      </c>
      <c r="C4" s="13" t="s">
        <v>166</v>
      </c>
      <c r="D4" s="14" t="s">
        <v>167</v>
      </c>
      <c r="E4" s="14" t="s">
        <v>168</v>
      </c>
      <c r="F4" s="14" t="s">
        <v>169</v>
      </c>
      <c r="G4" s="14" t="s">
        <v>71</v>
      </c>
      <c r="H4" s="14" t="s">
        <v>170</v>
      </c>
      <c r="I4" s="14" t="s">
        <v>171</v>
      </c>
      <c r="J4" s="14" t="s">
        <v>172</v>
      </c>
      <c r="K4" s="14" t="s">
        <v>173</v>
      </c>
      <c r="L4" s="14" t="s">
        <v>174</v>
      </c>
    </row>
    <row r="5" spans="1:12" x14ac:dyDescent="0.35">
      <c r="A5" s="11" t="s">
        <v>175</v>
      </c>
      <c r="B5" s="11" t="s">
        <v>176</v>
      </c>
      <c r="C5" s="11" t="s">
        <v>177</v>
      </c>
      <c r="D5" s="18">
        <v>13632.838656</v>
      </c>
      <c r="E5" s="18">
        <v>14541.430656</v>
      </c>
      <c r="F5" s="19">
        <v>0.16687030338572639</v>
      </c>
      <c r="G5" s="19">
        <v>8.6412895145026009E-2</v>
      </c>
      <c r="H5" s="47">
        <v>0.9865370384127462</v>
      </c>
      <c r="I5" s="47">
        <v>11.41654884675545</v>
      </c>
      <c r="J5" s="47">
        <v>13.158521377462099</v>
      </c>
      <c r="K5" s="47">
        <v>15.866667</v>
      </c>
      <c r="L5" s="47">
        <v>12.168525000000001</v>
      </c>
    </row>
    <row r="6" spans="1:12" x14ac:dyDescent="0.35">
      <c r="A6" s="11" t="s">
        <v>178</v>
      </c>
      <c r="B6" s="11" t="s">
        <v>179</v>
      </c>
      <c r="C6" s="11" t="s">
        <v>177</v>
      </c>
      <c r="D6" s="18">
        <v>25835.502484802</v>
      </c>
      <c r="E6" s="18">
        <v>24079.992110106941</v>
      </c>
      <c r="F6" s="19">
        <v>7.6307120679126594E-2</v>
      </c>
      <c r="G6" s="19">
        <v>0.13394545265664581</v>
      </c>
      <c r="H6" s="47">
        <v>2.013034381288008</v>
      </c>
      <c r="I6" s="47">
        <v>15.02876239067403</v>
      </c>
      <c r="J6" s="47">
        <v>16.860483336902981</v>
      </c>
      <c r="K6" s="47">
        <v>21.518218999999998</v>
      </c>
      <c r="L6" s="47">
        <v>33.322884000000002</v>
      </c>
    </row>
    <row r="7" spans="1:12" x14ac:dyDescent="0.35">
      <c r="A7" s="11" t="s">
        <v>180</v>
      </c>
      <c r="B7" s="11" t="s">
        <v>181</v>
      </c>
      <c r="C7" s="11" t="s">
        <v>177</v>
      </c>
      <c r="D7" s="18">
        <v>11513.75956210681</v>
      </c>
      <c r="E7" s="18">
        <v>11360.815559955319</v>
      </c>
      <c r="F7" s="19">
        <v>6.501521812647959E-2</v>
      </c>
      <c r="G7" s="19">
        <v>7.7050091291577361E-2</v>
      </c>
      <c r="H7" s="47">
        <v>0.94347394713026911</v>
      </c>
      <c r="I7" s="47">
        <v>12.2449426251803</v>
      </c>
      <c r="J7" s="47">
        <v>15.54399857703374</v>
      </c>
      <c r="K7" s="47">
        <v>20.192307</v>
      </c>
      <c r="L7" s="47">
        <v>16.649048000000001</v>
      </c>
    </row>
    <row r="8" spans="1:12" x14ac:dyDescent="0.35">
      <c r="A8" s="11" t="s">
        <v>182</v>
      </c>
      <c r="B8" s="11" t="s">
        <v>183</v>
      </c>
      <c r="C8" s="11" t="s">
        <v>177</v>
      </c>
      <c r="D8" s="18">
        <v>4448.7266819412234</v>
      </c>
      <c r="E8" s="18">
        <v>7098.0861306335446</v>
      </c>
      <c r="F8" s="19">
        <v>3.1860462339399209E-2</v>
      </c>
      <c r="G8" s="19">
        <v>5.2709366004657691E-2</v>
      </c>
      <c r="H8" s="47">
        <v>0.38071172956475202</v>
      </c>
      <c r="I8" s="47">
        <v>7.2228478242578413</v>
      </c>
      <c r="J8" s="47">
        <v>11.26240170656143</v>
      </c>
      <c r="K8" s="47"/>
      <c r="L8" s="47">
        <v>9.011469</v>
      </c>
    </row>
    <row r="9" spans="1:12" x14ac:dyDescent="0.35">
      <c r="A9" s="11" t="s">
        <v>184</v>
      </c>
      <c r="B9" s="11" t="s">
        <v>185</v>
      </c>
      <c r="C9" s="11" t="s">
        <v>177</v>
      </c>
      <c r="D9" s="18">
        <v>3375.2986701241002</v>
      </c>
      <c r="E9" s="18">
        <v>4534.4230264296993</v>
      </c>
      <c r="F9" s="19">
        <v>6.2273525721455503E-2</v>
      </c>
      <c r="G9" s="19">
        <v>4.7920135312626982E-2</v>
      </c>
      <c r="H9" s="47">
        <v>0.44823408026155398</v>
      </c>
      <c r="I9" s="47">
        <v>9.3537732591386096</v>
      </c>
      <c r="J9" s="47">
        <v>12.78485650371664</v>
      </c>
      <c r="K9" s="47">
        <v>40.163265000000003</v>
      </c>
      <c r="L9" s="47">
        <v>16.131146999999999</v>
      </c>
    </row>
    <row r="10" spans="1:12" x14ac:dyDescent="0.35">
      <c r="A10" s="11" t="s">
        <v>186</v>
      </c>
      <c r="B10" s="11" t="s">
        <v>187</v>
      </c>
      <c r="C10" s="11" t="s">
        <v>177</v>
      </c>
      <c r="D10" s="18">
        <v>3014.9347040691991</v>
      </c>
      <c r="E10" s="18">
        <v>3354.279208842815</v>
      </c>
      <c r="F10" s="19">
        <v>2.455730036752413E-2</v>
      </c>
      <c r="G10" s="19">
        <v>7.7743355617153106E-2</v>
      </c>
      <c r="H10" s="47">
        <v>0.57215510582096851</v>
      </c>
      <c r="I10" s="47">
        <v>7.3595370469798658</v>
      </c>
      <c r="J10" s="47">
        <v>14.51210613730356</v>
      </c>
      <c r="K10" s="47">
        <v>13.483708999999999</v>
      </c>
      <c r="L10" s="47">
        <v>16.059702000000001</v>
      </c>
    </row>
    <row r="11" spans="1:12" x14ac:dyDescent="0.35">
      <c r="A11" s="11" t="s">
        <v>188</v>
      </c>
      <c r="B11" s="11" t="s">
        <v>189</v>
      </c>
      <c r="C11" s="11" t="s">
        <v>190</v>
      </c>
      <c r="D11" s="18">
        <v>87661.789183999994</v>
      </c>
      <c r="E11" s="18">
        <v>103401.78918399999</v>
      </c>
      <c r="F11" s="19">
        <v>3.3110000866376048E-2</v>
      </c>
      <c r="G11" s="19">
        <v>0.16450888926160431</v>
      </c>
      <c r="H11" s="47">
        <v>1.445228859127567</v>
      </c>
      <c r="I11" s="47">
        <v>8.7851110393757743</v>
      </c>
      <c r="J11" s="47">
        <v>11.203865286578051</v>
      </c>
      <c r="K11" s="47">
        <v>13.873668</v>
      </c>
      <c r="L11" s="47">
        <v>13.302899</v>
      </c>
    </row>
    <row r="12" spans="1:12" x14ac:dyDescent="0.35">
      <c r="A12" s="11" t="s">
        <v>191</v>
      </c>
      <c r="B12" s="11" t="s">
        <v>192</v>
      </c>
      <c r="C12" s="11" t="s">
        <v>190</v>
      </c>
      <c r="D12" s="18">
        <v>250946.25098072749</v>
      </c>
      <c r="E12" s="18">
        <v>250748.37967794409</v>
      </c>
      <c r="F12" s="19">
        <v>-2.6411859534796411E-2</v>
      </c>
      <c r="G12" s="19">
        <v>0.11189784698950871</v>
      </c>
      <c r="H12" s="47">
        <v>1.1490747765293381</v>
      </c>
      <c r="I12" s="47">
        <v>10.268962338811329</v>
      </c>
      <c r="J12" s="47">
        <v>15.676974012406919</v>
      </c>
      <c r="K12" s="47">
        <v>21.412759999999999</v>
      </c>
      <c r="L12" s="47">
        <v>18.58192</v>
      </c>
    </row>
    <row r="14" spans="1:12" x14ac:dyDescent="0.35">
      <c r="A14" s="3" t="s">
        <v>193</v>
      </c>
      <c r="F14" s="48">
        <f t="shared" ref="F14:L14" si="0">IFERROR(AVERAGE(F5:F12),"")</f>
        <v>5.4197758993911382E-2</v>
      </c>
      <c r="G14" s="48">
        <f t="shared" si="0"/>
        <v>9.4023504034849992E-2</v>
      </c>
      <c r="H14" s="49">
        <f t="shared" si="0"/>
        <v>0.99230623976690036</v>
      </c>
      <c r="I14" s="49">
        <f t="shared" si="0"/>
        <v>10.210060671396651</v>
      </c>
      <c r="J14" s="49">
        <f t="shared" si="0"/>
        <v>13.875400867245677</v>
      </c>
      <c r="K14" s="49">
        <f t="shared" si="0"/>
        <v>20.930084999999998</v>
      </c>
      <c r="L14" s="49">
        <f t="shared" si="0"/>
        <v>16.903449250000001</v>
      </c>
    </row>
    <row r="15" spans="1:12" x14ac:dyDescent="0.35">
      <c r="A15" s="3" t="s">
        <v>194</v>
      </c>
      <c r="F15" s="40">
        <f t="shared" ref="F15:L15" si="1">IFERROR(MEDIAN(F5:F12),"")</f>
        <v>4.7691763293915779E-2</v>
      </c>
      <c r="G15" s="40">
        <f t="shared" si="1"/>
        <v>8.2078125381089551E-2</v>
      </c>
      <c r="H15" s="50">
        <f t="shared" si="1"/>
        <v>0.96500549277150771</v>
      </c>
      <c r="I15" s="50">
        <f t="shared" si="1"/>
        <v>9.8113677989749704</v>
      </c>
      <c r="J15" s="50">
        <f t="shared" si="1"/>
        <v>13.83531375738283</v>
      </c>
      <c r="K15" s="50">
        <f t="shared" si="1"/>
        <v>20.192307</v>
      </c>
      <c r="L15" s="50">
        <f t="shared" si="1"/>
        <v>16.0954245</v>
      </c>
    </row>
    <row r="16" spans="1:12" x14ac:dyDescent="0.35">
      <c r="A16" s="3" t="s">
        <v>195</v>
      </c>
      <c r="F16" s="40">
        <f t="shared" ref="F16:L16" si="2">IFERROR(QUARTILE(F5:F12,1),"")</f>
        <v>3.0034671846430439E-2</v>
      </c>
      <c r="G16" s="40">
        <f t="shared" si="2"/>
        <v>7.0964909969847445E-2</v>
      </c>
      <c r="H16" s="50">
        <f t="shared" si="2"/>
        <v>0.54117484943111482</v>
      </c>
      <c r="I16" s="50">
        <f t="shared" si="2"/>
        <v>8.4287175412767965</v>
      </c>
      <c r="J16" s="50">
        <f t="shared" si="2"/>
        <v>12.404242804427838</v>
      </c>
      <c r="K16" s="50">
        <f t="shared" si="2"/>
        <v>14.870167500000001</v>
      </c>
      <c r="L16" s="50">
        <f t="shared" si="2"/>
        <v>13.0193055</v>
      </c>
    </row>
    <row r="17" spans="1:12" x14ac:dyDescent="0.35">
      <c r="A17" s="3" t="s">
        <v>196</v>
      </c>
      <c r="F17" s="40">
        <f t="shared" ref="F17:L17" si="3">IFERROR(QUARTILE(F5:F12,3),"")</f>
        <v>6.7838193764641341E-2</v>
      </c>
      <c r="G17" s="40">
        <f t="shared" si="3"/>
        <v>0.11740974840629298</v>
      </c>
      <c r="H17" s="50">
        <f t="shared" si="3"/>
        <v>1.2231132971788954</v>
      </c>
      <c r="I17" s="50">
        <f t="shared" si="3"/>
        <v>11.623647291361664</v>
      </c>
      <c r="J17" s="50">
        <f t="shared" si="3"/>
        <v>15.577242435877036</v>
      </c>
      <c r="K17" s="50">
        <f t="shared" si="3"/>
        <v>21.465489499999997</v>
      </c>
      <c r="L17" s="50">
        <f t="shared" si="3"/>
        <v>17.132266000000001</v>
      </c>
    </row>
    <row r="20" spans="1:12" x14ac:dyDescent="0.35">
      <c r="A20" s="9" t="s">
        <v>197</v>
      </c>
      <c r="D20" s="13" t="s">
        <v>198</v>
      </c>
      <c r="E20" s="14" t="s">
        <v>199</v>
      </c>
      <c r="F20" s="14" t="s">
        <v>200</v>
      </c>
      <c r="G20" s="14" t="s">
        <v>201</v>
      </c>
      <c r="H20" s="14" t="s">
        <v>154</v>
      </c>
    </row>
    <row r="21" spans="1:12" x14ac:dyDescent="0.35">
      <c r="A21" s="11" t="s">
        <v>202</v>
      </c>
      <c r="B21" s="28">
        <f>(Inputs!$B$5*Inputs!$B$6)*Inputs!$B$7</f>
        <v>4828.6452455999997</v>
      </c>
      <c r="D21" s="11" t="s">
        <v>170</v>
      </c>
      <c r="E21" s="29">
        <f>IF(B23&lt;=0,"n.m.",B22/B23)</f>
        <v>1.4072557092042248</v>
      </c>
      <c r="F21" s="29">
        <f>H15</f>
        <v>0.96500549277150771</v>
      </c>
      <c r="G21" s="41">
        <f>IF(B23&lt;=0,"",(H15*B23-Inputs!$B$8-Inputs!$B$9)/Inputs!$B$7/Inputs!$B$6)</f>
        <v>75.88009494503217</v>
      </c>
      <c r="H21" s="34">
        <f>IF(G21="","",G21/Inputs!$B$5-1)</f>
        <v>-0.36127866207885373</v>
      </c>
    </row>
    <row r="22" spans="1:12" x14ac:dyDescent="0.35">
      <c r="A22" s="11" t="s">
        <v>131</v>
      </c>
      <c r="B22" s="28">
        <f>B21+Inputs!$B$8+Inputs!$B$9</f>
        <v>5551.0172456</v>
      </c>
      <c r="D22" s="11" t="s">
        <v>171</v>
      </c>
      <c r="E22" s="29">
        <f>IF(B24&lt;=0,"n.m.",B22/B24)</f>
        <v>11.447929089466596</v>
      </c>
      <c r="F22" s="29">
        <f>I15</f>
        <v>9.8113677989749704</v>
      </c>
      <c r="G22" s="41">
        <f>IF(B24&lt;=0,"",(I15*B24-Inputs!$B$8-Inputs!$B$9)/Inputs!$B$7/Inputs!$B$6)</f>
        <v>99.275988191116852</v>
      </c>
      <c r="H22" s="34">
        <f>IF(G22="","",G22/Inputs!$B$5-1)</f>
        <v>-0.16434353374480759</v>
      </c>
    </row>
    <row r="23" spans="1:12" x14ac:dyDescent="0.35">
      <c r="A23" s="11" t="s">
        <v>203</v>
      </c>
      <c r="B23" s="31">
        <f>Historicals!E5</f>
        <v>3944.569</v>
      </c>
      <c r="D23" s="11" t="s">
        <v>172</v>
      </c>
      <c r="E23" s="29">
        <f>IF(B25&lt;=0,"n.m.",B22/B25)</f>
        <v>16.206038944003645</v>
      </c>
      <c r="F23" s="29">
        <f>J15</f>
        <v>13.83531375738283</v>
      </c>
      <c r="G23" s="41">
        <f>IF(B25&lt;=0,"",(J15*B25-Inputs!$B$8-Inputs!$B$9)/Inputs!$B$7/Inputs!$B$6)</f>
        <v>98.821261927672992</v>
      </c>
      <c r="H23" s="34">
        <f>IF(G23="","",G23/Inputs!$B$5-1)</f>
        <v>-0.16817119589500851</v>
      </c>
    </row>
    <row r="24" spans="1:12" x14ac:dyDescent="0.35">
      <c r="A24" s="11" t="s">
        <v>204</v>
      </c>
      <c r="B24" s="31">
        <f>Historicals!E9</f>
        <v>484.89270000000005</v>
      </c>
      <c r="D24" s="11" t="s">
        <v>173</v>
      </c>
      <c r="E24" s="29">
        <f>IF(B26&lt;=0,"n.m.",(Inputs!$B$5*Inputs!$B$6)/B26)</f>
        <v>21.063829787234042</v>
      </c>
      <c r="F24" s="29">
        <f>K15</f>
        <v>20.192307</v>
      </c>
      <c r="G24" s="41">
        <f>IF(B26&lt;=0,"",K15*B26/Inputs!$B$6)</f>
        <v>113.88461147999999</v>
      </c>
      <c r="H24" s="34">
        <f>IF(G24="","",G24/Inputs!$B$5-1)</f>
        <v>-4.1375324242424294E-2</v>
      </c>
    </row>
    <row r="25" spans="1:12" x14ac:dyDescent="0.35">
      <c r="A25" s="11" t="s">
        <v>205</v>
      </c>
      <c r="B25" s="31">
        <f>Historicals!E14</f>
        <v>342.52770000000015</v>
      </c>
    </row>
    <row r="26" spans="1:12" x14ac:dyDescent="0.35">
      <c r="A26" s="11" t="s">
        <v>206</v>
      </c>
      <c r="B26" s="4">
        <f>Historicals!E23</f>
        <v>5.64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workbookViewId="0"/>
  </sheetViews>
  <sheetFormatPr defaultRowHeight="14.5" x14ac:dyDescent="0.35"/>
  <cols>
    <col min="1" max="1" width="34" customWidth="1"/>
    <col min="2" max="4" width="12" customWidth="1"/>
  </cols>
  <sheetData>
    <row r="1" spans="1:4" ht="18" x14ac:dyDescent="0.4">
      <c r="A1" s="1" t="s">
        <v>207</v>
      </c>
    </row>
    <row r="2" spans="1:4" x14ac:dyDescent="0.35">
      <c r="A2" s="2" t="s">
        <v>208</v>
      </c>
    </row>
    <row r="4" spans="1:4" x14ac:dyDescent="0.35">
      <c r="A4" s="13" t="s">
        <v>209</v>
      </c>
      <c r="B4" s="14" t="s">
        <v>210</v>
      </c>
      <c r="C4" s="14" t="s">
        <v>211</v>
      </c>
      <c r="D4" s="14" t="s">
        <v>212</v>
      </c>
    </row>
    <row r="5" spans="1:4" x14ac:dyDescent="0.35">
      <c r="A5" s="11" t="s">
        <v>213</v>
      </c>
      <c r="B5" s="23">
        <v>112</v>
      </c>
      <c r="C5" s="23">
        <v>154.6</v>
      </c>
      <c r="D5" s="41">
        <f>IFERROR(C5-B5,"")</f>
        <v>42.599999999999994</v>
      </c>
    </row>
    <row r="6" spans="1:4" x14ac:dyDescent="0.35">
      <c r="A6" s="11" t="s">
        <v>214</v>
      </c>
      <c r="B6" s="41">
        <f>MIN(DCF!D40:F42)</f>
        <v>112.18979017657526</v>
      </c>
      <c r="C6" s="41">
        <f>MAX(DCF!D40:F42)</f>
        <v>145.01137554243135</v>
      </c>
      <c r="D6" s="41">
        <f>IFERROR(C6-B6,"")</f>
        <v>32.821585365856095</v>
      </c>
    </row>
    <row r="7" spans="1:4" x14ac:dyDescent="0.35">
      <c r="A7" s="11" t="s">
        <v>215</v>
      </c>
      <c r="B7" s="41">
        <f>(Peers!I16*Peers!B24-Inputs!$B$8-Inputs!$B$9)/Inputs!$B$7/Inputs!$B$6</f>
        <v>82.781109499011663</v>
      </c>
      <c r="C7" s="41">
        <f>(Peers!I17*Peers!B24-Inputs!$B$8-Inputs!$B$9)/Inputs!$B$7/Inputs!$B$6</f>
        <v>120.89630049834823</v>
      </c>
      <c r="D7" s="41">
        <f>IFERROR(C7-B7,"")</f>
        <v>38.115190999336562</v>
      </c>
    </row>
    <row r="8" spans="1:4" x14ac:dyDescent="0.35">
      <c r="A8" s="11" t="s">
        <v>216</v>
      </c>
      <c r="B8" s="41">
        <f>(Peers!J16*Peers!B25-Inputs!$B$8-Inputs!$B$9)/Inputs!$B$7/Inputs!$B$6</f>
        <v>86.761242532191645</v>
      </c>
      <c r="C8" s="41">
        <f>(Peers!J17*Peers!B25-Inputs!$B$8-Inputs!$B$9)/Inputs!$B$7/Inputs!$B$6</f>
        <v>113.50096289205001</v>
      </c>
      <c r="D8" s="41">
        <f>IFERROR(C8-B8,"")</f>
        <v>26.739720359858367</v>
      </c>
    </row>
    <row r="9" spans="1:4" x14ac:dyDescent="0.35">
      <c r="A9" s="11" t="s">
        <v>217</v>
      </c>
      <c r="B9" s="41">
        <f>Peers!K16*Peers!B26/Inputs!$B$6</f>
        <v>83.867744700000003</v>
      </c>
      <c r="C9" s="41">
        <f>Peers!K17*Peers!B26/Inputs!$B$6</f>
        <v>121.06536077999998</v>
      </c>
      <c r="D9" s="41">
        <f>IFERROR(C9-B9,"")</f>
        <v>37.197616079999975</v>
      </c>
    </row>
    <row r="11" spans="1:4" x14ac:dyDescent="0.35">
      <c r="A11" s="11" t="s">
        <v>136</v>
      </c>
      <c r="B11" s="4">
        <f>Inputs!$B$5</f>
        <v>118.8</v>
      </c>
    </row>
    <row r="12" spans="1:4" x14ac:dyDescent="0.35">
      <c r="A12" s="11" t="s">
        <v>5</v>
      </c>
      <c r="B12" s="51">
        <f>DCF!$B$30</f>
        <v>130</v>
      </c>
    </row>
    <row r="13" spans="1:4" x14ac:dyDescent="0.35">
      <c r="A13" s="11" t="s">
        <v>8</v>
      </c>
      <c r="B13" s="52" t="str">
        <f>DCF!$B$33</f>
        <v>BUY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7"/>
  <sheetViews>
    <sheetView workbookViewId="0"/>
  </sheetViews>
  <sheetFormatPr defaultRowHeight="14.5" x14ac:dyDescent="0.35"/>
  <cols>
    <col min="1" max="1" width="62" customWidth="1"/>
    <col min="2" max="2" width="12" customWidth="1"/>
    <col min="3" max="3" width="60" customWidth="1"/>
  </cols>
  <sheetData>
    <row r="1" spans="1:3" ht="18" x14ac:dyDescent="0.4">
      <c r="A1" s="1" t="s">
        <v>218</v>
      </c>
    </row>
    <row r="2" spans="1:3" x14ac:dyDescent="0.35">
      <c r="A2" s="2" t="s">
        <v>219</v>
      </c>
    </row>
    <row r="4" spans="1:3" x14ac:dyDescent="0.35">
      <c r="A4" s="13" t="s">
        <v>220</v>
      </c>
      <c r="B4" s="14" t="s">
        <v>221</v>
      </c>
      <c r="C4" s="13" t="s">
        <v>222</v>
      </c>
    </row>
    <row r="5" spans="1:3" x14ac:dyDescent="0.35">
      <c r="A5" s="11" t="s">
        <v>223</v>
      </c>
      <c r="B5" s="53" t="b">
        <f>WACC!$B$17&gt;Inputs!$B$11</f>
        <v>1</v>
      </c>
      <c r="C5" s="2" t="s">
        <v>224</v>
      </c>
    </row>
    <row r="6" spans="1:3" x14ac:dyDescent="0.35">
      <c r="A6" s="11" t="s">
        <v>225</v>
      </c>
      <c r="B6" s="53" t="b">
        <f>ABS(DCF!B16-(DCF!B10+DCF!B15))&lt;0.01</f>
        <v>1</v>
      </c>
      <c r="C6" s="2" t="s">
        <v>226</v>
      </c>
    </row>
    <row r="7" spans="1:3" x14ac:dyDescent="0.35">
      <c r="A7" s="11" t="s">
        <v>227</v>
      </c>
      <c r="B7" s="53" t="b">
        <f>ABS(DCF!B19-(DCF!B16-Inputs!$B$8-Inputs!$B$9))&lt;0.01</f>
        <v>1</v>
      </c>
      <c r="C7" s="2" t="s">
        <v>228</v>
      </c>
    </row>
    <row r="8" spans="1:3" x14ac:dyDescent="0.35">
      <c r="A8" s="11" t="s">
        <v>229</v>
      </c>
      <c r="B8" s="53" t="b">
        <f>ABS(DCF!E41-DCF!B21)&lt;0.01</f>
        <v>1</v>
      </c>
      <c r="C8" s="2" t="s">
        <v>230</v>
      </c>
    </row>
    <row r="9" spans="1:3" x14ac:dyDescent="0.35">
      <c r="A9" s="11" t="s">
        <v>231</v>
      </c>
      <c r="B9" s="53" t="b">
        <f>ABS(Scenarios!I6-DCF!B21)&lt;0.01</f>
        <v>1</v>
      </c>
      <c r="C9" s="2" t="s">
        <v>232</v>
      </c>
    </row>
    <row r="10" spans="1:3" x14ac:dyDescent="0.35">
      <c r="A10" s="11" t="s">
        <v>233</v>
      </c>
      <c r="B10" s="53" t="b">
        <f>Forecast!B6=Historicals!E5</f>
        <v>1</v>
      </c>
      <c r="C10" s="2" t="s">
        <v>234</v>
      </c>
    </row>
    <row r="11" spans="1:3" x14ac:dyDescent="0.35">
      <c r="A11" s="11" t="s">
        <v>235</v>
      </c>
      <c r="B11" s="53" t="b">
        <f>ABS(WACC!B15+WACC!B16-1)&lt;0.000001</f>
        <v>1</v>
      </c>
      <c r="C11" s="2" t="s">
        <v>236</v>
      </c>
    </row>
    <row r="12" spans="1:3" x14ac:dyDescent="0.35">
      <c r="A12" s="11" t="s">
        <v>237</v>
      </c>
      <c r="B12" s="53" t="b">
        <f>ABS(Scenarios!B8-1)&lt;0.000001</f>
        <v>1</v>
      </c>
      <c r="C12" s="2" t="s">
        <v>238</v>
      </c>
    </row>
    <row r="13" spans="1:3" x14ac:dyDescent="0.35">
      <c r="A13" s="11" t="s">
        <v>239</v>
      </c>
      <c r="B13" s="53" t="b">
        <f>AND(Inputs!$B$5&gt;0,Inputs!$B$7&gt;0,Inputs!$B$6&gt;0)</f>
        <v>1</v>
      </c>
      <c r="C13" s="2" t="s">
        <v>240</v>
      </c>
    </row>
    <row r="14" spans="1:3" x14ac:dyDescent="0.35">
      <c r="A14" s="11" t="s">
        <v>241</v>
      </c>
      <c r="B14" s="53" t="b">
        <f>DCF!B24&lt;0.85</f>
        <v>1</v>
      </c>
      <c r="C14" s="2" t="s">
        <v>242</v>
      </c>
    </row>
    <row r="15" spans="1:3" x14ac:dyDescent="0.35">
      <c r="A15" s="11" t="s">
        <v>243</v>
      </c>
      <c r="B15" s="53" t="b">
        <f>SUMPRODUCT(--ISERROR(Forecast!B5:I20))+SUMPRODUCT(--ISERROR(DCF!B5:G33))+SUMPRODUCT(--ISERROR(Scenarios!B5:J8))=0</f>
        <v>1</v>
      </c>
      <c r="C15" s="2" t="s">
        <v>244</v>
      </c>
    </row>
    <row r="17" spans="1:2" x14ac:dyDescent="0.35">
      <c r="A17" s="3" t="s">
        <v>245</v>
      </c>
      <c r="B17" s="54" t="str">
        <f>IF(AND(B5:B15),"ALL OK","CHECK")</f>
        <v>ALL OK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Inputs</vt:lpstr>
      <vt:lpstr>Historicals</vt:lpstr>
      <vt:lpstr>Forecast</vt:lpstr>
      <vt:lpstr>WACC</vt:lpstr>
      <vt:lpstr>DCF</vt:lpstr>
      <vt:lpstr>Scenarios</vt:lpstr>
      <vt:lpstr>Peers</vt:lpstr>
      <vt:lpstr>Football field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Oscar Schjelderup</cp:lastModifiedBy>
  <dcterms:created xsi:type="dcterms:W3CDTF">2026-09-21T07:11:55Z</dcterms:created>
  <dcterms:modified xsi:type="dcterms:W3CDTF">2026-09-21T07:11:58Z</dcterms:modified>
</cp:coreProperties>
</file>