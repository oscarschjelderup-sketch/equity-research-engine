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25ed27e3db279b7/Desktop/Private prosjekter/equity-research-engine/output/SATS.OL/"/>
    </mc:Choice>
  </mc:AlternateContent>
  <xr:revisionPtr revIDLastSave="0" documentId="11_82DA4AADA33F2D293AF816D689DE86D9B61AA171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er" sheetId="1" r:id="rId1"/>
    <sheet name="Inputs" sheetId="2" r:id="rId2"/>
    <sheet name="Historicals" sheetId="3" r:id="rId3"/>
    <sheet name="Forecast" sheetId="4" r:id="rId4"/>
    <sheet name="WACC" sheetId="5" r:id="rId5"/>
    <sheet name="DCF" sheetId="6" r:id="rId6"/>
    <sheet name="Scenarios" sheetId="7" r:id="rId7"/>
    <sheet name="Peers" sheetId="8" r:id="rId8"/>
    <sheet name="Football field" sheetId="9" r:id="rId9"/>
    <sheet name="Check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0" l="1"/>
  <c r="B11" i="9"/>
  <c r="B9" i="9"/>
  <c r="D5" i="9"/>
  <c r="B41" i="8"/>
  <c r="B42" i="8" s="1"/>
  <c r="B43" i="8" s="1"/>
  <c r="F27" i="8"/>
  <c r="E27" i="8"/>
  <c r="H26" i="8"/>
  <c r="F26" i="8"/>
  <c r="F25" i="8"/>
  <c r="B15" i="1" s="1"/>
  <c r="G24" i="8"/>
  <c r="H24" i="8" s="1"/>
  <c r="F24" i="8"/>
  <c r="B24" i="8"/>
  <c r="B25" i="8" s="1"/>
  <c r="U20" i="8"/>
  <c r="T20" i="8"/>
  <c r="S20" i="8"/>
  <c r="R20" i="8"/>
  <c r="Q20" i="8"/>
  <c r="P20" i="8"/>
  <c r="O20" i="8"/>
  <c r="N20" i="8"/>
  <c r="M20" i="8"/>
  <c r="L20" i="8"/>
  <c r="K20" i="8"/>
  <c r="C9" i="9" s="1"/>
  <c r="J20" i="8"/>
  <c r="C8" i="9" s="1"/>
  <c r="D8" i="9" s="1"/>
  <c r="I20" i="8"/>
  <c r="C7" i="9" s="1"/>
  <c r="D7" i="9" s="1"/>
  <c r="H20" i="8"/>
  <c r="G20" i="8"/>
  <c r="F20" i="8"/>
  <c r="U19" i="8"/>
  <c r="T19" i="8"/>
  <c r="S19" i="8"/>
  <c r="R19" i="8"/>
  <c r="Q19" i="8"/>
  <c r="P19" i="8"/>
  <c r="O19" i="8"/>
  <c r="N19" i="8"/>
  <c r="M19" i="8"/>
  <c r="L19" i="8"/>
  <c r="K19" i="8"/>
  <c r="J19" i="8"/>
  <c r="B8" i="9" s="1"/>
  <c r="I19" i="8"/>
  <c r="B7" i="9" s="1"/>
  <c r="H19" i="8"/>
  <c r="G19" i="8"/>
  <c r="F19" i="8"/>
  <c r="U18" i="8"/>
  <c r="T18" i="8"/>
  <c r="S18" i="8"/>
  <c r="R18" i="8"/>
  <c r="Q18" i="8"/>
  <c r="P18" i="8"/>
  <c r="O18" i="8"/>
  <c r="N18" i="8"/>
  <c r="M18" i="8"/>
  <c r="L18" i="8"/>
  <c r="K18" i="8"/>
  <c r="G27" i="8" s="1"/>
  <c r="H27" i="8" s="1"/>
  <c r="J18" i="8"/>
  <c r="G26" i="8" s="1"/>
  <c r="I18" i="8"/>
  <c r="G25" i="8" s="1"/>
  <c r="H25" i="8" s="1"/>
  <c r="H18" i="8"/>
  <c r="G18" i="8"/>
  <c r="F18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H45" i="7"/>
  <c r="G45" i="7"/>
  <c r="F45" i="7"/>
  <c r="E45" i="7"/>
  <c r="D45" i="7"/>
  <c r="C45" i="7"/>
  <c r="H43" i="7"/>
  <c r="G43" i="7"/>
  <c r="F43" i="7"/>
  <c r="E43" i="7"/>
  <c r="D43" i="7"/>
  <c r="C43" i="7"/>
  <c r="B42" i="7"/>
  <c r="H30" i="7"/>
  <c r="G30" i="7"/>
  <c r="F30" i="7"/>
  <c r="E30" i="7"/>
  <c r="D30" i="7"/>
  <c r="C30" i="7"/>
  <c r="H28" i="7"/>
  <c r="G28" i="7"/>
  <c r="F28" i="7"/>
  <c r="E28" i="7"/>
  <c r="D28" i="7"/>
  <c r="C28" i="7"/>
  <c r="B27" i="7"/>
  <c r="H15" i="7"/>
  <c r="G15" i="7"/>
  <c r="F15" i="7"/>
  <c r="E15" i="7"/>
  <c r="D15" i="7"/>
  <c r="C15" i="7"/>
  <c r="H13" i="7"/>
  <c r="G13" i="7"/>
  <c r="F13" i="7"/>
  <c r="E13" i="7"/>
  <c r="D13" i="7"/>
  <c r="C13" i="7"/>
  <c r="B12" i="7"/>
  <c r="B8" i="7"/>
  <c r="B12" i="10" s="1"/>
  <c r="H7" i="7"/>
  <c r="H6" i="7"/>
  <c r="H5" i="7"/>
  <c r="A44" i="6"/>
  <c r="A43" i="6"/>
  <c r="A42" i="6"/>
  <c r="A41" i="6"/>
  <c r="A40" i="6"/>
  <c r="A39" i="6"/>
  <c r="A38" i="6"/>
  <c r="B28" i="6"/>
  <c r="B22" i="6"/>
  <c r="B20" i="6"/>
  <c r="B18" i="6"/>
  <c r="B17" i="6"/>
  <c r="B11" i="6"/>
  <c r="G6" i="6"/>
  <c r="F6" i="6"/>
  <c r="E6" i="6"/>
  <c r="D6" i="6"/>
  <c r="C6" i="6"/>
  <c r="B6" i="6"/>
  <c r="B16" i="5"/>
  <c r="B14" i="5"/>
  <c r="B13" i="5"/>
  <c r="B15" i="5" s="1"/>
  <c r="B11" i="5"/>
  <c r="B10" i="5"/>
  <c r="B12" i="5" s="1"/>
  <c r="B8" i="5"/>
  <c r="B7" i="5"/>
  <c r="B6" i="5"/>
  <c r="B5" i="5"/>
  <c r="B9" i="5" s="1"/>
  <c r="B27" i="6" s="1"/>
  <c r="B18" i="4"/>
  <c r="H17" i="4"/>
  <c r="I17" i="4" s="1"/>
  <c r="G17" i="4"/>
  <c r="F17" i="4"/>
  <c r="E17" i="4"/>
  <c r="D17" i="4"/>
  <c r="C17" i="4"/>
  <c r="B16" i="4"/>
  <c r="H15" i="4"/>
  <c r="I15" i="4" s="1"/>
  <c r="G15" i="4"/>
  <c r="F15" i="4"/>
  <c r="E15" i="4"/>
  <c r="D15" i="4"/>
  <c r="C15" i="4"/>
  <c r="H9" i="4"/>
  <c r="I9" i="4" s="1"/>
  <c r="G9" i="4"/>
  <c r="F9" i="4"/>
  <c r="E9" i="4"/>
  <c r="D9" i="4"/>
  <c r="C9" i="4"/>
  <c r="B8" i="4"/>
  <c r="H7" i="4"/>
  <c r="I7" i="4" s="1"/>
  <c r="G7" i="4"/>
  <c r="F7" i="4"/>
  <c r="E7" i="4"/>
  <c r="D7" i="4"/>
  <c r="C7" i="4"/>
  <c r="B6" i="4"/>
  <c r="I5" i="4"/>
  <c r="H5" i="4"/>
  <c r="G5" i="4"/>
  <c r="F5" i="4"/>
  <c r="E5" i="4"/>
  <c r="D5" i="4"/>
  <c r="C5" i="4"/>
  <c r="E28" i="3"/>
  <c r="D28" i="3"/>
  <c r="C28" i="3"/>
  <c r="B28" i="3"/>
  <c r="E13" i="3"/>
  <c r="B10" i="4" s="1"/>
  <c r="D13" i="3"/>
  <c r="D14" i="3" s="1"/>
  <c r="C13" i="3"/>
  <c r="C14" i="3" s="1"/>
  <c r="B13" i="3"/>
  <c r="B14" i="3" s="1"/>
  <c r="E9" i="3"/>
  <c r="E10" i="3" s="1"/>
  <c r="D9" i="3"/>
  <c r="D10" i="3" s="1"/>
  <c r="C9" i="3"/>
  <c r="C10" i="3" s="1"/>
  <c r="B9" i="3"/>
  <c r="B10" i="3" s="1"/>
  <c r="E6" i="3"/>
  <c r="D6" i="3"/>
  <c r="C6" i="3"/>
  <c r="B13" i="1"/>
  <c r="B4" i="1"/>
  <c r="B11" i="10" l="1"/>
  <c r="B17" i="5"/>
  <c r="G37" i="6" s="1"/>
  <c r="B14" i="7"/>
  <c r="C14" i="7" s="1"/>
  <c r="B44" i="7"/>
  <c r="C44" i="7" s="1"/>
  <c r="B7" i="4"/>
  <c r="B29" i="7"/>
  <c r="C29" i="7" s="1"/>
  <c r="B10" i="10"/>
  <c r="C6" i="4"/>
  <c r="C17" i="3"/>
  <c r="C20" i="3" s="1"/>
  <c r="C21" i="3" s="1"/>
  <c r="C15" i="3"/>
  <c r="D17" i="3"/>
  <c r="D20" i="3" s="1"/>
  <c r="D21" i="3" s="1"/>
  <c r="D15" i="3"/>
  <c r="F37" i="6"/>
  <c r="F7" i="6"/>
  <c r="E37" i="6"/>
  <c r="E7" i="6"/>
  <c r="B12" i="6"/>
  <c r="G5" i="7"/>
  <c r="D7" i="6"/>
  <c r="G7" i="7"/>
  <c r="C37" i="6"/>
  <c r="C7" i="6"/>
  <c r="B5" i="10"/>
  <c r="B12" i="1"/>
  <c r="B37" i="6"/>
  <c r="B7" i="6"/>
  <c r="G6" i="7"/>
  <c r="H37" i="6"/>
  <c r="E24" i="8"/>
  <c r="E26" i="8"/>
  <c r="E25" i="8"/>
  <c r="B14" i="1" s="1"/>
  <c r="B15" i="3"/>
  <c r="B17" i="3"/>
  <c r="B20" i="3" s="1"/>
  <c r="B21" i="3" s="1"/>
  <c r="G7" i="6"/>
  <c r="D9" i="9"/>
  <c r="E14" i="3"/>
  <c r="D37" i="6" l="1"/>
  <c r="E17" i="3"/>
  <c r="B11" i="4"/>
  <c r="E15" i="3"/>
  <c r="C31" i="7"/>
  <c r="C32" i="7"/>
  <c r="C37" i="7"/>
  <c r="C36" i="7"/>
  <c r="D29" i="7"/>
  <c r="C8" i="4"/>
  <c r="C18" i="4"/>
  <c r="D6" i="4"/>
  <c r="C10" i="4"/>
  <c r="C16" i="4"/>
  <c r="C52" i="7"/>
  <c r="C46" i="7"/>
  <c r="C47" i="7"/>
  <c r="D44" i="7"/>
  <c r="C51" i="7"/>
  <c r="C17" i="7"/>
  <c r="C21" i="7"/>
  <c r="C22" i="7"/>
  <c r="D14" i="7"/>
  <c r="C16" i="7"/>
  <c r="C18" i="7" s="1"/>
  <c r="C33" i="7" l="1"/>
  <c r="C34" i="7"/>
  <c r="C35" i="7" s="1"/>
  <c r="C38" i="7" s="1"/>
  <c r="C19" i="7"/>
  <c r="C20" i="7" s="1"/>
  <c r="C23" i="7" s="1"/>
  <c r="D18" i="4"/>
  <c r="D10" i="4"/>
  <c r="E6" i="4"/>
  <c r="D16" i="4"/>
  <c r="D8" i="4"/>
  <c r="D11" i="4" s="1"/>
  <c r="D21" i="7"/>
  <c r="D22" i="7"/>
  <c r="D17" i="7"/>
  <c r="D16" i="7"/>
  <c r="E14" i="7"/>
  <c r="C48" i="7"/>
  <c r="E29" i="7"/>
  <c r="D32" i="7"/>
  <c r="D37" i="7"/>
  <c r="D31" i="7"/>
  <c r="D36" i="7"/>
  <c r="C11" i="4"/>
  <c r="E20" i="3"/>
  <c r="B14" i="4"/>
  <c r="D47" i="7"/>
  <c r="E44" i="7"/>
  <c r="D51" i="7"/>
  <c r="D46" i="7"/>
  <c r="D48" i="7" s="1"/>
  <c r="D52" i="7"/>
  <c r="C49" i="7" l="1"/>
  <c r="C50" i="7"/>
  <c r="C53" i="7" s="1"/>
  <c r="E32" i="7"/>
  <c r="E37" i="7"/>
  <c r="E36" i="7"/>
  <c r="F29" i="7"/>
  <c r="E31" i="7"/>
  <c r="E33" i="7" s="1"/>
  <c r="E21" i="7"/>
  <c r="E22" i="7"/>
  <c r="F14" i="7"/>
  <c r="E17" i="7"/>
  <c r="E16" i="7"/>
  <c r="E18" i="7" s="1"/>
  <c r="F44" i="7"/>
  <c r="E52" i="7"/>
  <c r="E46" i="7"/>
  <c r="E51" i="7"/>
  <c r="E47" i="7"/>
  <c r="D18" i="7"/>
  <c r="D49" i="7"/>
  <c r="D50" i="7" s="1"/>
  <c r="D53" i="7" s="1"/>
  <c r="D12" i="4"/>
  <c r="D13" i="4"/>
  <c r="D14" i="4" s="1"/>
  <c r="D19" i="4" s="1"/>
  <c r="E10" i="4"/>
  <c r="E18" i="4"/>
  <c r="F6" i="4"/>
  <c r="E16" i="4"/>
  <c r="E8" i="4"/>
  <c r="E21" i="3"/>
  <c r="B19" i="4"/>
  <c r="C12" i="4"/>
  <c r="C13" i="4"/>
  <c r="C14" i="4" s="1"/>
  <c r="C19" i="4" s="1"/>
  <c r="D33" i="7"/>
  <c r="C5" i="6" l="1"/>
  <c r="C8" i="6" s="1"/>
  <c r="D20" i="4"/>
  <c r="D34" i="7"/>
  <c r="D35" i="7" s="1"/>
  <c r="D38" i="7" s="1"/>
  <c r="E48" i="7"/>
  <c r="C20" i="4"/>
  <c r="B5" i="6"/>
  <c r="E11" i="4"/>
  <c r="F22" i="7"/>
  <c r="F17" i="7"/>
  <c r="F16" i="7"/>
  <c r="F18" i="7" s="1"/>
  <c r="G14" i="7"/>
  <c r="F21" i="7"/>
  <c r="D19" i="7"/>
  <c r="D20" i="7" s="1"/>
  <c r="D23" i="7" s="1"/>
  <c r="G44" i="7"/>
  <c r="F51" i="7"/>
  <c r="F52" i="7"/>
  <c r="F46" i="7"/>
  <c r="F47" i="7"/>
  <c r="E19" i="7"/>
  <c r="E20" i="7" s="1"/>
  <c r="E23" i="7" s="1"/>
  <c r="F10" i="4"/>
  <c r="F8" i="4"/>
  <c r="F11" i="4" s="1"/>
  <c r="F16" i="4"/>
  <c r="F18" i="4"/>
  <c r="G6" i="4"/>
  <c r="E34" i="7"/>
  <c r="E35" i="7"/>
  <c r="E38" i="7" s="1"/>
  <c r="F36" i="7"/>
  <c r="F37" i="7"/>
  <c r="G29" i="7"/>
  <c r="F32" i="7"/>
  <c r="F31" i="7"/>
  <c r="F33" i="7" s="1"/>
  <c r="G46" i="7" l="1"/>
  <c r="G47" i="7"/>
  <c r="G51" i="7"/>
  <c r="G52" i="7"/>
  <c r="H44" i="7"/>
  <c r="G36" i="7"/>
  <c r="H29" i="7"/>
  <c r="G37" i="7"/>
  <c r="G31" i="7"/>
  <c r="G32" i="7"/>
  <c r="F34" i="7"/>
  <c r="F35" i="7" s="1"/>
  <c r="F38" i="7" s="1"/>
  <c r="G21" i="7"/>
  <c r="G22" i="7"/>
  <c r="H14" i="7"/>
  <c r="G17" i="7"/>
  <c r="G16" i="7"/>
  <c r="F19" i="7"/>
  <c r="F20" i="7" s="1"/>
  <c r="F23" i="7" s="1"/>
  <c r="B8" i="6"/>
  <c r="G18" i="4"/>
  <c r="H6" i="4"/>
  <c r="G16" i="4"/>
  <c r="G8" i="4"/>
  <c r="G10" i="4"/>
  <c r="E13" i="4"/>
  <c r="E12" i="4"/>
  <c r="E14" i="4"/>
  <c r="E19" i="4" s="1"/>
  <c r="F12" i="4"/>
  <c r="F13" i="4"/>
  <c r="F14" i="4" s="1"/>
  <c r="F19" i="4" s="1"/>
  <c r="E49" i="7"/>
  <c r="E50" i="7" s="1"/>
  <c r="E53" i="7" s="1"/>
  <c r="F48" i="7"/>
  <c r="E5" i="6" l="1"/>
  <c r="E8" i="6" s="1"/>
  <c r="F20" i="4"/>
  <c r="F49" i="7"/>
  <c r="F50" i="7" s="1"/>
  <c r="F53" i="7" s="1"/>
  <c r="H51" i="7"/>
  <c r="H52" i="7"/>
  <c r="H46" i="7"/>
  <c r="H47" i="7"/>
  <c r="H22" i="7"/>
  <c r="H21" i="7"/>
  <c r="H17" i="7"/>
  <c r="H16" i="7"/>
  <c r="H18" i="7" s="1"/>
  <c r="H37" i="7"/>
  <c r="H32" i="7"/>
  <c r="H31" i="7"/>
  <c r="H33" i="7" s="1"/>
  <c r="H36" i="7"/>
  <c r="D5" i="6"/>
  <c r="E20" i="4"/>
  <c r="G33" i="7"/>
  <c r="G11" i="4"/>
  <c r="G48" i="7"/>
  <c r="H16" i="4"/>
  <c r="I6" i="4"/>
  <c r="H8" i="4"/>
  <c r="H18" i="4"/>
  <c r="H10" i="4"/>
  <c r="G18" i="7"/>
  <c r="H11" i="4" l="1"/>
  <c r="I10" i="4"/>
  <c r="I16" i="4"/>
  <c r="I8" i="4"/>
  <c r="I11" i="4" s="1"/>
  <c r="I18" i="4"/>
  <c r="G34" i="7"/>
  <c r="G35" i="7" s="1"/>
  <c r="G38" i="7" s="1"/>
  <c r="H34" i="7"/>
  <c r="H35" i="7" s="1"/>
  <c r="H38" i="7" s="1"/>
  <c r="H19" i="7"/>
  <c r="H20" i="7" s="1"/>
  <c r="H23" i="7" s="1"/>
  <c r="G19" i="7"/>
  <c r="G20" i="7" s="1"/>
  <c r="G23" i="7" s="1"/>
  <c r="H48" i="7"/>
  <c r="G49" i="7"/>
  <c r="G50" i="7" s="1"/>
  <c r="G53" i="7" s="1"/>
  <c r="G12" i="4"/>
  <c r="G13" i="4"/>
  <c r="G14" i="4" s="1"/>
  <c r="G19" i="4" s="1"/>
  <c r="D8" i="6"/>
  <c r="B39" i="7" l="1"/>
  <c r="B40" i="7" s="1"/>
  <c r="I6" i="7" s="1"/>
  <c r="J6" i="7"/>
  <c r="I12" i="4"/>
  <c r="I13" i="4"/>
  <c r="I14" i="4" s="1"/>
  <c r="I19" i="4" s="1"/>
  <c r="I20" i="4" s="1"/>
  <c r="H49" i="7"/>
  <c r="H50" i="7"/>
  <c r="H53" i="7" s="1"/>
  <c r="B54" i="7" s="1"/>
  <c r="B55" i="7" s="1"/>
  <c r="I7" i="7" s="1"/>
  <c r="J7" i="7" s="1"/>
  <c r="B24" i="7"/>
  <c r="B25" i="7" s="1"/>
  <c r="I5" i="7" s="1"/>
  <c r="H12" i="4"/>
  <c r="H13" i="4"/>
  <c r="H14" i="4"/>
  <c r="H19" i="4" s="1"/>
  <c r="F5" i="6"/>
  <c r="G20" i="4"/>
  <c r="I8" i="7" l="1"/>
  <c r="J5" i="7"/>
  <c r="G5" i="6"/>
  <c r="H20" i="4"/>
  <c r="F8" i="6"/>
  <c r="D38" i="6"/>
  <c r="D42" i="6"/>
  <c r="E40" i="6"/>
  <c r="E38" i="6"/>
  <c r="G40" i="6"/>
  <c r="B41" i="6"/>
  <c r="F44" i="6"/>
  <c r="H38" i="6"/>
  <c r="D39" i="6"/>
  <c r="G42" i="6"/>
  <c r="E39" i="6"/>
  <c r="B39" i="6"/>
  <c r="B43" i="6"/>
  <c r="C38" i="6"/>
  <c r="F39" i="6"/>
  <c r="C42" i="6"/>
  <c r="G44" i="6"/>
  <c r="H39" i="6"/>
  <c r="B38" i="6"/>
  <c r="D40" i="6"/>
  <c r="H43" i="6"/>
  <c r="D41" i="6"/>
  <c r="F41" i="6"/>
  <c r="G39" i="6"/>
  <c r="G41" i="6"/>
  <c r="C40" i="6"/>
  <c r="H40" i="6"/>
  <c r="C39" i="6"/>
  <c r="H42" i="6"/>
  <c r="B42" i="6"/>
  <c r="H44" i="6"/>
  <c r="F38" i="6"/>
  <c r="E42" i="6"/>
  <c r="B44" i="6"/>
  <c r="C41" i="6"/>
  <c r="E41" i="6"/>
  <c r="F43" i="6"/>
  <c r="G38" i="6"/>
  <c r="F42" i="6"/>
  <c r="C43" i="6"/>
  <c r="H41" i="6"/>
  <c r="D43" i="6"/>
  <c r="E44" i="6"/>
  <c r="F40" i="6"/>
  <c r="E43" i="6"/>
  <c r="C44" i="6"/>
  <c r="G43" i="6"/>
  <c r="G8" i="6" l="1"/>
  <c r="B10" i="6" s="1"/>
  <c r="B13" i="6"/>
  <c r="B14" i="6" s="1"/>
  <c r="B6" i="9"/>
  <c r="C6" i="9"/>
  <c r="D6" i="9" s="1"/>
  <c r="B40" i="6"/>
  <c r="D44" i="6"/>
  <c r="B6" i="1"/>
  <c r="J8" i="7"/>
  <c r="B15" i="6" l="1"/>
  <c r="B25" i="6"/>
  <c r="B16" i="6" l="1"/>
  <c r="B19" i="6" l="1"/>
  <c r="B6" i="10"/>
  <c r="B24" i="6"/>
  <c r="B14" i="10" s="1"/>
  <c r="B7" i="10" l="1"/>
  <c r="B21" i="6"/>
  <c r="B26" i="6" l="1"/>
  <c r="B5" i="1"/>
  <c r="B23" i="6"/>
  <c r="B9" i="10"/>
  <c r="B8" i="10"/>
  <c r="B29" i="6" l="1"/>
  <c r="B30" i="6" s="1"/>
  <c r="B7" i="1" l="1"/>
  <c r="B12" i="9"/>
  <c r="B32" i="6"/>
  <c r="B31" i="6"/>
  <c r="B8" i="1" s="1"/>
  <c r="B9" i="1" l="1"/>
  <c r="B33" i="6"/>
  <c r="B13" i="9" l="1"/>
  <c r="B10" i="1"/>
  <c r="B15" i="10"/>
  <c r="B17" i="10" s="1"/>
  <c r="B11" i="1" s="1"/>
</calcChain>
</file>

<file path=xl/sharedStrings.xml><?xml version="1.0" encoding="utf-8"?>
<sst xmlns="http://schemas.openxmlformats.org/spreadsheetml/2006/main" count="418" uniqueCount="284">
  <si>
    <t>SATS ASA (SATS.OL) – valuation model</t>
  </si>
  <si>
    <t>Generated by Equity Research Engine on 2026-09-23</t>
  </si>
  <si>
    <t>Share price (NOK)</t>
  </si>
  <si>
    <t>DCF fair value per share (NOK)</t>
  </si>
  <si>
    <t>Probability-weighted scenario value (NOK)</t>
  </si>
  <si>
    <t>Target price (NOK)</t>
  </si>
  <si>
    <t>Upside to target price</t>
  </si>
  <si>
    <t>Expected total return</t>
  </si>
  <si>
    <t>Rating</t>
  </si>
  <si>
    <t>Model checks</t>
  </si>
  <si>
    <t>WACC</t>
  </si>
  <si>
    <t>Terminal growth</t>
  </si>
  <si>
    <t>EV/EBITDA (LTM)</t>
  </si>
  <si>
    <t>Peer median EV/EBITDA</t>
  </si>
  <si>
    <t>Legend</t>
  </si>
  <si>
    <t>Blue text = hard-coded input (edit these)</t>
  </si>
  <si>
    <t>Black text = formula</t>
  </si>
  <si>
    <t>Green text = link to another sheet</t>
  </si>
  <si>
    <t>Yellow fill = key assumption</t>
  </si>
  <si>
    <t>Sheets: Inputs -&gt; Historicals -&gt; Forecast -&gt; WACC -&gt; DCF -&gt; Peers -&gt; Football field</t>
  </si>
  <si>
    <t>Lease treatment: operating. Sources: Company reports, Yahoo Finance, Equity Research Engine estimates</t>
  </si>
  <si>
    <t>SATS ASA – model inputs</t>
  </si>
  <si>
    <t>All figures in NOKm unless stated. Blue = input, black = formula, green = link.</t>
  </si>
  <si>
    <t>Market data</t>
  </si>
  <si>
    <t>Value</t>
  </si>
  <si>
    <t>Source / note</t>
  </si>
  <si>
    <t>Yahoo Finance close</t>
  </si>
  <si>
    <t>FX: NOK per NOK</t>
  </si>
  <si>
    <t>1.0 when the company reports in its listing currency</t>
  </si>
  <si>
    <t>Shares outstanding (m)</t>
  </si>
  <si>
    <t>Yahoo Finance</t>
  </si>
  <si>
    <t>Net debt</t>
  </si>
  <si>
    <t>Balance sheet 30.06.2026 (ex leases)</t>
  </si>
  <si>
    <t>Minority interest</t>
  </si>
  <si>
    <t>Balance sheet 30.06.2026</t>
  </si>
  <si>
    <t>Tax rate</t>
  </si>
  <si>
    <t>config</t>
  </si>
  <si>
    <t>Config</t>
  </si>
  <si>
    <t>Risk-free rate</t>
  </si>
  <si>
    <t>Equity risk premium</t>
  </si>
  <si>
    <t>Beta (adjusted)</t>
  </si>
  <si>
    <t>Yahoo Finance (5y monthly); regression vs OSEBX rejected (R2=0.02 &lt; 0.10), Blume-adjusted</t>
  </si>
  <si>
    <t>Size premium</t>
  </si>
  <si>
    <t>size premium from config</t>
  </si>
  <si>
    <t>Cost of debt (pre-tax)</t>
  </si>
  <si>
    <t>interest expense / average debt</t>
  </si>
  <si>
    <t>Gross debt for WACC weights</t>
  </si>
  <si>
    <t>Latest balance sheet</t>
  </si>
  <si>
    <t>Mid-year convention (1 = yes)</t>
  </si>
  <si>
    <t>Years from FY-end to valuation date</t>
  </si>
  <si>
    <t>Valuation date 23.09.2026; last fiscal year-end 31.12.2025</t>
  </si>
  <si>
    <t>Years from FY-end to balance sheet</t>
  </si>
  <si>
    <t>Net debt as at 30.06.2026: year-1 cash flow before that date is already in net debt</t>
  </si>
  <si>
    <t>Terminal method (1 = value driver)</t>
  </si>
  <si>
    <t>0 = Gordon growth on FCF; 1 = NOPAT x (1 - g/RONIC) / (WACC - g)</t>
  </si>
  <si>
    <t>RONIC (value driver only)</t>
  </si>
  <si>
    <t>Return on new invested capital</t>
  </si>
  <si>
    <t>Expected dividend per share (NOK)</t>
  </si>
  <si>
    <t>Indicated annual dividend (Yahoo Finance)</t>
  </si>
  <si>
    <t>Roll-forward months</t>
  </si>
  <si>
    <t>12 = twelve-month target price; 0 = fair value today</t>
  </si>
  <si>
    <t>Target price rounding</t>
  </si>
  <si>
    <t>Weight on DCF in fair value</t>
  </si>
  <si>
    <t>1 = pure DCF (tp_method: dcf); below 1 blends in the peer-multiple value</t>
  </si>
  <si>
    <t>Peer-multiple value per share (NOK)</t>
  </si>
  <si>
    <t>Median of the multiple-implied values (engine)</t>
  </si>
  <si>
    <t>BUY threshold (total return)</t>
  </si>
  <si>
    <t>SELL threshold (total return)</t>
  </si>
  <si>
    <t>Forecast drivers</t>
  </si>
  <si>
    <t>2026E</t>
  </si>
  <si>
    <t>2027E</t>
  </si>
  <si>
    <t>2028E</t>
  </si>
  <si>
    <t>2029E</t>
  </si>
  <si>
    <t>2030E</t>
  </si>
  <si>
    <t>2031E</t>
  </si>
  <si>
    <t>Revenue growth</t>
  </si>
  <si>
    <t>EBITDA margin</t>
  </si>
  <si>
    <t>D&amp;A % of revenue</t>
  </si>
  <si>
    <t>Capex % of revenue</t>
  </si>
  <si>
    <t>Net working capital % of revenue</t>
  </si>
  <si>
    <t>Notes: Revenue growth anchored on consensus (5 analysts), fading linearly to 1.5% terminal growth. EBITDA margin moves linearly from 16.4% to 18.0%. 2026E built on 2 reported quarters to Jun 2026: year-to-date revenue +4.9% at a 16.7% EBITDA margin (17.0% a year earlier); the remaining quarters at +3.8% growth (consensus growth for the year) and last year's seasonal margins plus the -0.3pp year-to-date margin change. Net working capital held at -15.1% of revenue (3-year average from the balance sheet). Capex normalises from 4.9% to 4.8% of revenue (D&amp;A x 1.05) by 2031E.</t>
  </si>
  <si>
    <t>Lease treatment: operating (lease rate 4.50%). Growth anchor: consensus (5 analysts).</t>
  </si>
  <si>
    <t>SATS ASA – historical financials (NOKm)</t>
  </si>
  <si>
    <t>Source: company reports via Yahoo Finance; lease adjustments per methodology.</t>
  </si>
  <si>
    <t>NOKm</t>
  </si>
  <si>
    <t>2022A</t>
  </si>
  <si>
    <t>2023A</t>
  </si>
  <si>
    <t>2024A</t>
  </si>
  <si>
    <t>2025A</t>
  </si>
  <si>
    <t>Revenue</t>
  </si>
  <si>
    <t>Growth</t>
  </si>
  <si>
    <t>EBITDA (reported)</t>
  </si>
  <si>
    <t>Lease cost (rent)</t>
  </si>
  <si>
    <t>EBITDA</t>
  </si>
  <si>
    <t>D&amp;A (reported)</t>
  </si>
  <si>
    <t>Right-of-use depreciation</t>
  </si>
  <si>
    <t>D&amp;A</t>
  </si>
  <si>
    <t>EBIT</t>
  </si>
  <si>
    <t>EBIT margin</t>
  </si>
  <si>
    <t>Tax rate (effective, used)</t>
  </si>
  <si>
    <t>NOPAT</t>
  </si>
  <si>
    <t>Capex</t>
  </si>
  <si>
    <t>Change in NWC</t>
  </si>
  <si>
    <t>Unlevered FCF</t>
  </si>
  <si>
    <t>FCF margin</t>
  </si>
  <si>
    <t>Net income</t>
  </si>
  <si>
    <t>Diluted EPS</t>
  </si>
  <si>
    <t>Cash</t>
  </si>
  <si>
    <t>Total debt (incl. leases)</t>
  </si>
  <si>
    <t>Lease liabilities</t>
  </si>
  <si>
    <t>Net debt (model basis)</t>
  </si>
  <si>
    <t>Net debt / EBITDA</t>
  </si>
  <si>
    <t>Interest expense (ex leases)</t>
  </si>
  <si>
    <t>SATS ASA – forecast (NOKm)</t>
  </si>
  <si>
    <t>Formulas reference the Inputs sheet; last actual year is linked from Historicals.</t>
  </si>
  <si>
    <t>Terminal</t>
  </si>
  <si>
    <t>Tax</t>
  </si>
  <si>
    <t>Cost of capital</t>
  </si>
  <si>
    <t>CAPM cost of equity, after-tax cost of debt, market-value weights.</t>
  </si>
  <si>
    <t>Component</t>
  </si>
  <si>
    <t>Cost of equity</t>
  </si>
  <si>
    <t>Cost of debt (after tax)</t>
  </si>
  <si>
    <t>Equity value (market cap)</t>
  </si>
  <si>
    <t>Debt value</t>
  </si>
  <si>
    <t>Weight of equity</t>
  </si>
  <si>
    <t>Weight of debt</t>
  </si>
  <si>
    <t>Cross-check: bottom-up beta from the peer group (Hamada, tax at the corporate rate)</t>
  </si>
  <si>
    <t>Median unlevered peer beta</t>
  </si>
  <si>
    <t>Relevered at the target's D/E of 0.18</t>
  </si>
  <si>
    <t>Blume-adjusted (compare with B6)</t>
  </si>
  <si>
    <t>Peers with a usable beta</t>
  </si>
  <si>
    <t>SATS ASA – DCF valuation (NOKm)</t>
  </si>
  <si>
    <t>Unlevered FCF discounted at WACC; Gordon growth terminal value.</t>
  </si>
  <si>
    <t>Year</t>
  </si>
  <si>
    <t>Discount period (years from valuation date)</t>
  </si>
  <si>
    <t>Discount factor</t>
  </si>
  <si>
    <t>PV of FCF (year 1: after the balance-sheet date)</t>
  </si>
  <si>
    <t>Sum of PV of FCF</t>
  </si>
  <si>
    <t>Terminal cash flow (year N+1)</t>
  </si>
  <si>
    <t>Terminal value</t>
  </si>
  <si>
    <t>PV of terminal value</t>
  </si>
  <si>
    <t>Enterprise value</t>
  </si>
  <si>
    <t>Less: net debt</t>
  </si>
  <si>
    <t>Less: minority interest</t>
  </si>
  <si>
    <t>Equity value</t>
  </si>
  <si>
    <t>Fair value per share, DCF (NOK)</t>
  </si>
  <si>
    <t>Current share price (NOK)</t>
  </si>
  <si>
    <t>Upside / (downside) to fair value</t>
  </si>
  <si>
    <t>Terminal value as % of EV</t>
  </si>
  <si>
    <t>Implied exit EV/EBITDA</t>
  </si>
  <si>
    <t>Fair value used for the target price</t>
  </si>
  <si>
    <t>Target price before rounding</t>
  </si>
  <si>
    <t>Expected total return (incl. dividend)</t>
  </si>
  <si>
    <t>Sensitivity: value per share (rows = terminal growth, columns = WACC)</t>
  </si>
  <si>
    <t>g \ WACC</t>
  </si>
  <si>
    <t>Scenario analysis</t>
  </si>
  <si>
    <t>Shifts are additive to the base case (Inputs sheet). Edit the blue cells; every scenario re-runs the full forecast.</t>
  </si>
  <si>
    <t>Scenario</t>
  </si>
  <si>
    <t>Probability</t>
  </si>
  <si>
    <t>Growth shift</t>
  </si>
  <si>
    <t>Margin shift</t>
  </si>
  <si>
    <t>WACC shift</t>
  </si>
  <si>
    <t>Terminal g shift</t>
  </si>
  <si>
    <t>Value per share (NOK)</t>
  </si>
  <si>
    <t>vs price</t>
  </si>
  <si>
    <t>Bear</t>
  </si>
  <si>
    <t>Base</t>
  </si>
  <si>
    <t>Bull</t>
  </si>
  <si>
    <t>Probability-weighted</t>
  </si>
  <si>
    <t>Bear case (NOKm)</t>
  </si>
  <si>
    <t>Base case (NOKm)</t>
  </si>
  <si>
    <t>Bull case (NOKm)</t>
  </si>
  <si>
    <t>Peer multiples</t>
  </si>
  <si>
    <t>LTM figures where the quarters are reported (else the last fiscal year); EV = market cap today + latest net debt, same lease basis as the target company; P/E on trailing twelve-month EPS.</t>
  </si>
  <si>
    <t>Company</t>
  </si>
  <si>
    <t>Ticker</t>
  </si>
  <si>
    <t>Group</t>
  </si>
  <si>
    <t>Market cap (NOKm)</t>
  </si>
  <si>
    <t>EV (NOKm)</t>
  </si>
  <si>
    <t>Rev. growth</t>
  </si>
  <si>
    <t>EV/Sales</t>
  </si>
  <si>
    <t>EV/EBITDA</t>
  </si>
  <si>
    <t>EV/EBIT</t>
  </si>
  <si>
    <t>P/E</t>
  </si>
  <si>
    <t>P/E (NTM)</t>
  </si>
  <si>
    <t>EV/Sales (NTM)</t>
  </si>
  <si>
    <t>EV/EBITDA (NTM*)</t>
  </si>
  <si>
    <t>P/E (FY0)</t>
  </si>
  <si>
    <t>P/E (FY1)</t>
  </si>
  <si>
    <t>Growth FY1</t>
  </si>
  <si>
    <t>EPS growth</t>
  </si>
  <si>
    <t>PEG</t>
  </si>
  <si>
    <t>FCF yield</t>
  </si>
  <si>
    <t>Div. yield</t>
  </si>
  <si>
    <t>Basic-Fit</t>
  </si>
  <si>
    <t>BFIT.AS</t>
  </si>
  <si>
    <t>Global fitness</t>
  </si>
  <si>
    <t>Planet Fitness</t>
  </si>
  <si>
    <t>PLNT</t>
  </si>
  <si>
    <t>Life Time Group</t>
  </si>
  <si>
    <t>LTH</t>
  </si>
  <si>
    <t>The Gym Group</t>
  </si>
  <si>
    <t>GYM.L</t>
  </si>
  <si>
    <t>Xponential Fitness</t>
  </si>
  <si>
    <t>XPOF</t>
  </si>
  <si>
    <t>Europris</t>
  </si>
  <si>
    <t>EPR.OL</t>
  </si>
  <si>
    <t>Nordic consumer</t>
  </si>
  <si>
    <t>Kid</t>
  </si>
  <si>
    <t>KID.OL</t>
  </si>
  <si>
    <t>Orkla</t>
  </si>
  <si>
    <t>ORK.OL</t>
  </si>
  <si>
    <t>Clas Ohlson</t>
  </si>
  <si>
    <t>CLAS-B.ST</t>
  </si>
  <si>
    <t>Thule Group</t>
  </si>
  <si>
    <t>THULE.ST</t>
  </si>
  <si>
    <t>Rusta</t>
  </si>
  <si>
    <t>RUSTA.ST</t>
  </si>
  <si>
    <t>Average</t>
  </si>
  <si>
    <t>Median</t>
  </si>
  <si>
    <t>25th percentile</t>
  </si>
  <si>
    <t>75th percentile</t>
  </si>
  <si>
    <t>SATS – current multiples and implied value</t>
  </si>
  <si>
    <t>Multiple</t>
  </si>
  <si>
    <t>SATS</t>
  </si>
  <si>
    <t>Peer median</t>
  </si>
  <si>
    <t>Implied value/share (NOK)</t>
  </si>
  <si>
    <t>Market cap</t>
  </si>
  <si>
    <t>Revenue (LTM Jun 2026)</t>
  </si>
  <si>
    <t>EBITDA (LTM Jun 2026)</t>
  </si>
  <si>
    <t>EBIT (LTM Jun 2026)</t>
  </si>
  <si>
    <t>EPS, trailing 12 months (NOK)</t>
  </si>
  <si>
    <t>Income figures: FY2025 + 2 quarter(s) to Jun 2026 - same quarter(s) of 2025. Net debt: balance sheet 30.06.2026. EPS: Yahoo Finance trailing twelve months, the same basis as the peers' P/E. * EV/EBITDA (NTM) = EV over NTM consensus revenue at the LTM margin (no EBITDA consensus on Yahoo).</t>
  </si>
  <si>
    <t>EV/EBITDA regression on the peers above (engine OLS with an intercept; coefficients are inputs, the fitted value is live)</t>
  </si>
  <si>
    <t>Intercept</t>
  </si>
  <si>
    <t>Coefficient: expected revenue growth</t>
  </si>
  <si>
    <t>Coefficient: EBITDA margin</t>
  </si>
  <si>
    <t>R²</t>
  </si>
  <si>
    <t>Residual standard deviation (x)</t>
  </si>
  <si>
    <t>Peers in the regression</t>
  </si>
  <si>
    <t>SATS expected revenue growth</t>
  </si>
  <si>
    <t>SATS EBITDA margin (LTM)</t>
  </si>
  <si>
    <t>Fitted EV/EBITDA</t>
  </si>
  <si>
    <t>R² 0.06: below 0.15, so the fit is reported but not used as a valuation anchor</t>
  </si>
  <si>
    <t>Regression-implied value per share (NOK)</t>
  </si>
  <si>
    <t>Valuation summary</t>
  </si>
  <si>
    <t>Ranges feed the football-field chart; DCF range = inner 3x3 of the sensitivity grid.</t>
  </si>
  <si>
    <t>Method</t>
  </si>
  <si>
    <t>Low</t>
  </si>
  <si>
    <t>High</t>
  </si>
  <si>
    <t>Range</t>
  </si>
  <si>
    <t>52-week range</t>
  </si>
  <si>
    <t>DCF (WACC ±0.5%, g ±0.25%)</t>
  </si>
  <si>
    <t>EV/EBITDA (peer 25th–75th pct)</t>
  </si>
  <si>
    <t>EV/EBIT (peer 25th–75th pct)</t>
  </si>
  <si>
    <t>P/E (peer 25th–75th pct)</t>
  </si>
  <si>
    <t>Model integrity checks</t>
  </si>
  <si>
    <t>Every check must read TRUE. A FALSE means an input or formula has been broken.</t>
  </si>
  <si>
    <t>Check</t>
  </si>
  <si>
    <t>Result</t>
  </si>
  <si>
    <t>What it protects against</t>
  </si>
  <si>
    <t>WACC exceeds terminal growth</t>
  </si>
  <si>
    <t>A perpetuity needs WACC &gt; g</t>
  </si>
  <si>
    <t>Enterprise value = PV of FCF + PV of terminal value</t>
  </si>
  <si>
    <t>Broken bridge formulas</t>
  </si>
  <si>
    <t>Equity value = EV - net debt - minorities</t>
  </si>
  <si>
    <t>Sign errors in the bridge</t>
  </si>
  <si>
    <t>Sensitivity centre equals the DCF fair value</t>
  </si>
  <si>
    <t>Sensitivity grid out of sync with the model</t>
  </si>
  <si>
    <t>Base scenario reproduces the DCF fair value</t>
  </si>
  <si>
    <t>Scenario blocks drifting from the forecast</t>
  </si>
  <si>
    <t>Forecast starts from the last reported revenue</t>
  </si>
  <si>
    <t>Stale links</t>
  </si>
  <si>
    <t>Capital structure weights sum to 100%</t>
  </si>
  <si>
    <t>WACC weights</t>
  </si>
  <si>
    <t>Scenario probabilities sum to 100%</t>
  </si>
  <si>
    <t>Probability-weighted value</t>
  </si>
  <si>
    <t>Share price, shares and FX are positive</t>
  </si>
  <si>
    <t>Missing market data</t>
  </si>
  <si>
    <t>Terminal value below 85% of enterprise value</t>
  </si>
  <si>
    <t>Valuation resting almost entirely on the perpetuity</t>
  </si>
  <si>
    <t>No error values in Forecast, DCF or Scenarios</t>
  </si>
  <si>
    <t>#REF!, #DIV/0! and friends</t>
  </si>
  <si>
    <t>Overall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</si>
</sst>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;&quot;-&quot;"/>
    <numFmt numFmtId="165" formatCode="0.0000"/>
    <numFmt numFmtId="166" formatCode="#,##0.0;\(#,##0.0\);&quot;-&quot;"/>
    <numFmt numFmtId="167" formatCode="#,##0;\(#,##0\);&quot;-&quot;"/>
    <numFmt numFmtId="168" formatCode="0.0%"/>
    <numFmt numFmtId="169" formatCode="0.000"/>
    <numFmt numFmtId="170" formatCode="0.0&quot;x&quot;"/>
  </numFmts>
  <fonts count="12" x14ac:knownFonts="1">
    <font>
      <sz val="11"/>
      <color theme="1"/>
      <name val="Calibri"/>
      <family val="2"/>
      <scheme val="minor"/>
    </font>
    <font>
      <b/>
      <sz val="14"/>
      <color rgb="FF003255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0000FF"/>
      <name val="Arial"/>
    </font>
    <font>
      <b/>
      <sz val="9"/>
      <color rgb="FF000000"/>
      <name val="Arial"/>
    </font>
    <font>
      <i/>
      <sz val="9"/>
      <color rgb="FF000000"/>
      <name val="Arial"/>
    </font>
    <font>
      <sz val="9"/>
      <color rgb="FF008000"/>
      <name val="Arial"/>
    </font>
    <font>
      <i/>
      <sz val="9"/>
      <color rgb="FF008000"/>
      <name val="Arial"/>
    </font>
    <font>
      <b/>
      <sz val="9"/>
      <color rgb="FF003255"/>
      <name val="Arial"/>
    </font>
    <font>
      <b/>
      <sz val="9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3255"/>
      </patternFill>
    </fill>
    <fill>
      <patternFill patternType="solid">
        <fgColor rgb="FFFFFF00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164" fontId="8" fillId="0" borderId="0" xfId="0" applyNumberFormat="1" applyFont="1"/>
    <xf numFmtId="168" fontId="8" fillId="0" borderId="0" xfId="0" applyNumberFormat="1" applyFont="1"/>
    <xf numFmtId="0" fontId="8" fillId="0" borderId="0" xfId="0" applyFont="1"/>
    <xf numFmtId="10" fontId="8" fillId="0" borderId="0" xfId="0" applyNumberFormat="1" applyFont="1"/>
    <xf numFmtId="170" fontId="8" fillId="0" borderId="0" xfId="0" applyNumberFormat="1" applyFont="1"/>
    <xf numFmtId="0" fontId="10" fillId="0" borderId="0" xfId="0" applyFont="1"/>
    <xf numFmtId="0" fontId="5" fillId="0" borderId="0" xfId="0" applyFont="1"/>
    <xf numFmtId="0" fontId="4" fillId="0" borderId="0" xfId="0" applyFont="1"/>
    <xf numFmtId="0" fontId="4" fillId="3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5" fillId="3" borderId="0" xfId="0" applyNumberFormat="1" applyFont="1" applyFill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10" fontId="5" fillId="3" borderId="0" xfId="0" applyNumberFormat="1" applyFont="1" applyFill="1"/>
    <xf numFmtId="10" fontId="5" fillId="0" borderId="0" xfId="0" applyNumberFormat="1" applyFont="1"/>
    <xf numFmtId="1" fontId="5" fillId="0" borderId="0" xfId="0" applyNumberFormat="1" applyFont="1"/>
    <xf numFmtId="169" fontId="5" fillId="0" borderId="0" xfId="0" applyNumberFormat="1" applyFont="1"/>
    <xf numFmtId="164" fontId="5" fillId="0" borderId="0" xfId="0" applyNumberFormat="1" applyFont="1"/>
    <xf numFmtId="168" fontId="5" fillId="3" borderId="0" xfId="0" applyNumberFormat="1" applyFont="1" applyFill="1"/>
    <xf numFmtId="0" fontId="7" fillId="0" borderId="0" xfId="0" applyFont="1"/>
    <xf numFmtId="168" fontId="7" fillId="0" borderId="0" xfId="0" applyNumberFormat="1" applyFont="1"/>
    <xf numFmtId="167" fontId="6" fillId="0" borderId="0" xfId="0" applyNumberFormat="1" applyFont="1"/>
    <xf numFmtId="167" fontId="4" fillId="0" borderId="0" xfId="0" applyNumberFormat="1" applyFont="1"/>
    <xf numFmtId="170" fontId="4" fillId="0" borderId="0" xfId="0" applyNumberFormat="1" applyFont="1"/>
    <xf numFmtId="168" fontId="9" fillId="0" borderId="0" xfId="0" applyNumberFormat="1" applyFont="1"/>
    <xf numFmtId="167" fontId="8" fillId="0" borderId="0" xfId="0" applyNumberFormat="1" applyFont="1"/>
    <xf numFmtId="10" fontId="6" fillId="0" borderId="0" xfId="0" applyNumberFormat="1" applyFont="1"/>
    <xf numFmtId="10" fontId="4" fillId="0" borderId="0" xfId="0" applyNumberFormat="1" applyFont="1"/>
    <xf numFmtId="168" fontId="4" fillId="0" borderId="0" xfId="0" applyNumberFormat="1" applyFont="1"/>
    <xf numFmtId="167" fontId="11" fillId="0" borderId="0" xfId="0" applyNumberFormat="1" applyFont="1"/>
    <xf numFmtId="169" fontId="4" fillId="0" borderId="0" xfId="0" applyNumberFormat="1" applyFont="1"/>
    <xf numFmtId="166" fontId="8" fillId="0" borderId="0" xfId="0" applyNumberFormat="1" applyFont="1"/>
    <xf numFmtId="164" fontId="6" fillId="3" borderId="0" xfId="0" applyNumberFormat="1" applyFont="1" applyFill="1"/>
    <xf numFmtId="168" fontId="6" fillId="0" borderId="0" xfId="0" applyNumberFormat="1" applyFont="1"/>
    <xf numFmtId="164" fontId="4" fillId="0" borderId="0" xfId="0" applyNumberFormat="1" applyFont="1"/>
    <xf numFmtId="10" fontId="6" fillId="4" borderId="0" xfId="0" applyNumberFormat="1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6" fillId="3" borderId="0" xfId="0" applyNumberFormat="1" applyFont="1" applyFill="1" applyAlignment="1">
      <alignment horizontal="center" vertical="center"/>
    </xf>
    <xf numFmtId="164" fontId="6" fillId="0" borderId="0" xfId="0" applyNumberFormat="1" applyFont="1"/>
    <xf numFmtId="0" fontId="11" fillId="0" borderId="0" xfId="0" applyFont="1" applyAlignment="1">
      <alignment horizontal="center" vertical="center"/>
    </xf>
    <xf numFmtId="170" fontId="5" fillId="0" borderId="0" xfId="0" applyNumberFormat="1" applyFont="1"/>
    <xf numFmtId="168" fontId="6" fillId="0" borderId="1" xfId="0" applyNumberFormat="1" applyFont="1" applyBorder="1"/>
    <xf numFmtId="170" fontId="6" fillId="0" borderId="1" xfId="0" applyNumberFormat="1" applyFont="1" applyBorder="1"/>
    <xf numFmtId="164" fontId="6" fillId="0" borderId="1" xfId="0" applyNumberFormat="1" applyFont="1" applyBorder="1"/>
    <xf numFmtId="170" fontId="6" fillId="0" borderId="0" xfId="0" applyNumberFormat="1" applyFont="1"/>
    <xf numFmtId="164" fontId="8" fillId="3" borderId="0" xfId="0" applyNumberFormat="1" applyFont="1" applyFill="1"/>
    <xf numFmtId="0" fontId="11" fillId="0" borderId="0" xfId="0" applyFont="1"/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Football field (value per share)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'Football field'!$B$4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'Football field'!$A$5:$A$9</c:f>
              <c:strCache>
                <c:ptCount val="5"/>
                <c:pt idx="0">
                  <c:v>52-week range</c:v>
                </c:pt>
                <c:pt idx="1">
                  <c:v>DCF (WACC ±0.5%, g ±0.25%)</c:v>
                </c:pt>
                <c:pt idx="2">
                  <c:v>EV/EBITDA (peer 25th–75th pct)</c:v>
                </c:pt>
                <c:pt idx="3">
                  <c:v>EV/EBIT (peer 25th–75th pct)</c:v>
                </c:pt>
                <c:pt idx="4">
                  <c:v>P/E (peer 25th–75th pct)</c:v>
                </c:pt>
              </c:strCache>
            </c:strRef>
          </c:cat>
          <c:val>
            <c:numRef>
              <c:f>'Football field'!$B$5:$B$9</c:f>
              <c:numCache>
                <c:formatCode>#,##0.00;\(#,##0.00\);"-"</c:formatCode>
                <c:ptCount val="5"/>
                <c:pt idx="0">
                  <c:v>34.950000000000003</c:v>
                </c:pt>
                <c:pt idx="1">
                  <c:v>40.189010553590961</c:v>
                </c:pt>
                <c:pt idx="2">
                  <c:v>44.181840530818462</c:v>
                </c:pt>
                <c:pt idx="3">
                  <c:v>45.494515663562105</c:v>
                </c:pt>
                <c:pt idx="4">
                  <c:v>43.412400787499998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4-4976-A2CD-C890AC3BE426}"/>
            </c:ext>
          </c:extLst>
        </c:ser>
        <c:ser>
          <c:idx val="1"/>
          <c:order val="1"/>
          <c:tx>
            <c:strRef>
              <c:f>'Football field'!$D$4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003255"/>
            </a:solidFill>
            <a:ln>
              <a:prstDash val="solid"/>
            </a:ln>
          </c:spPr>
          <c:invertIfNegative val="1"/>
          <c:cat>
            <c:strRef>
              <c:f>'Football field'!$A$5:$A$9</c:f>
              <c:strCache>
                <c:ptCount val="5"/>
                <c:pt idx="0">
                  <c:v>52-week range</c:v>
                </c:pt>
                <c:pt idx="1">
                  <c:v>DCF (WACC ±0.5%, g ±0.25%)</c:v>
                </c:pt>
                <c:pt idx="2">
                  <c:v>EV/EBITDA (peer 25th–75th pct)</c:v>
                </c:pt>
                <c:pt idx="3">
                  <c:v>EV/EBIT (peer 25th–75th pct)</c:v>
                </c:pt>
                <c:pt idx="4">
                  <c:v>P/E (peer 25th–75th pct)</c:v>
                </c:pt>
              </c:strCache>
            </c:strRef>
          </c:cat>
          <c:val>
            <c:numRef>
              <c:f>'Football field'!$D$5:$D$9</c:f>
              <c:numCache>
                <c:formatCode>#,##0.00;\(#,##0.00\);"-"</c:formatCode>
                <c:ptCount val="5"/>
                <c:pt idx="0">
                  <c:v>12.5</c:v>
                </c:pt>
                <c:pt idx="1">
                  <c:v>10.007426230815703</c:v>
                </c:pt>
                <c:pt idx="2">
                  <c:v>8.7499317237068794</c:v>
                </c:pt>
                <c:pt idx="3">
                  <c:v>32.771204779470899</c:v>
                </c:pt>
                <c:pt idx="4">
                  <c:v>13.624312230000001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E34-4976-A2CD-C890AC3BE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RowHeight="14.5" x14ac:dyDescent="0.35"/>
  <cols>
    <col min="1" max="1" width="30" customWidth="1"/>
    <col min="2" max="2" width="18" customWidth="1"/>
    <col min="3" max="3" width="60" customWidth="1"/>
  </cols>
  <sheetData>
    <row r="1" spans="1:2" ht="18" x14ac:dyDescent="0.4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  <c r="B4" s="4">
        <f>Inputs!$B$5</f>
        <v>43.95</v>
      </c>
    </row>
    <row r="5" spans="1:2" x14ac:dyDescent="0.35">
      <c r="A5" s="3" t="s">
        <v>3</v>
      </c>
      <c r="B5" s="4">
        <f>DCF!B21</f>
        <v>44.661408015887311</v>
      </c>
    </row>
    <row r="6" spans="1:2" x14ac:dyDescent="0.35">
      <c r="A6" s="3" t="s">
        <v>4</v>
      </c>
      <c r="B6" s="4">
        <f>Scenarios!$I$8</f>
        <v>46.220984436226509</v>
      </c>
    </row>
    <row r="7" spans="1:2" x14ac:dyDescent="0.35">
      <c r="A7" s="3" t="s">
        <v>5</v>
      </c>
      <c r="B7" s="4">
        <f>DCF!B30</f>
        <v>47.5</v>
      </c>
    </row>
    <row r="8" spans="1:2" x14ac:dyDescent="0.35">
      <c r="A8" s="3" t="s">
        <v>6</v>
      </c>
      <c r="B8" s="5">
        <f>DCF!B31</f>
        <v>8.0773606370875939E-2</v>
      </c>
    </row>
    <row r="9" spans="1:2" x14ac:dyDescent="0.35">
      <c r="A9" s="3" t="s">
        <v>7</v>
      </c>
      <c r="B9" s="5">
        <f>DCF!B32</f>
        <v>0.11353811149032977</v>
      </c>
    </row>
    <row r="10" spans="1:2" x14ac:dyDescent="0.35">
      <c r="A10" s="3" t="s">
        <v>8</v>
      </c>
      <c r="B10" s="6" t="str">
        <f>DCF!B33</f>
        <v>HOLD</v>
      </c>
    </row>
    <row r="11" spans="1:2" x14ac:dyDescent="0.35">
      <c r="A11" s="3" t="s">
        <v>9</v>
      </c>
      <c r="B11" s="6" t="str">
        <f>Checks!$B$17</f>
        <v>ALL OK</v>
      </c>
    </row>
    <row r="12" spans="1:2" x14ac:dyDescent="0.35">
      <c r="A12" s="3" t="s">
        <v>10</v>
      </c>
      <c r="B12" s="7">
        <f>WACC!$B$17</f>
        <v>8.503592321867337E-2</v>
      </c>
    </row>
    <row r="13" spans="1:2" x14ac:dyDescent="0.35">
      <c r="A13" s="3" t="s">
        <v>11</v>
      </c>
      <c r="B13" s="7">
        <f>Inputs!$B$11</f>
        <v>1.4999999999999999E-2</v>
      </c>
    </row>
    <row r="14" spans="1:2" x14ac:dyDescent="0.35">
      <c r="A14" s="3" t="s">
        <v>12</v>
      </c>
      <c r="B14" s="8">
        <f>Peers!E25</f>
        <v>10.203130901606299</v>
      </c>
    </row>
    <row r="15" spans="1:2" x14ac:dyDescent="0.35">
      <c r="A15" s="3" t="s">
        <v>13</v>
      </c>
      <c r="B15" s="8">
        <f>Peers!F25</f>
        <v>11.179537664933839</v>
      </c>
    </row>
    <row r="18" spans="1:1" x14ac:dyDescent="0.35">
      <c r="A18" s="9" t="s">
        <v>14</v>
      </c>
    </row>
    <row r="19" spans="1:1" x14ac:dyDescent="0.35">
      <c r="A19" s="10" t="s">
        <v>15</v>
      </c>
    </row>
    <row r="20" spans="1:1" x14ac:dyDescent="0.35">
      <c r="A20" s="11" t="s">
        <v>16</v>
      </c>
    </row>
    <row r="21" spans="1:1" x14ac:dyDescent="0.35">
      <c r="A21" s="6" t="s">
        <v>17</v>
      </c>
    </row>
    <row r="22" spans="1:1" x14ac:dyDescent="0.35">
      <c r="A22" s="12" t="s">
        <v>18</v>
      </c>
    </row>
    <row r="24" spans="1:1" x14ac:dyDescent="0.35">
      <c r="A24" s="2" t="s">
        <v>19</v>
      </c>
    </row>
    <row r="25" spans="1:1" x14ac:dyDescent="0.35">
      <c r="A25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9" width="14" customWidth="1"/>
  </cols>
  <sheetData>
    <row r="1" spans="1:3" ht="18" x14ac:dyDescent="0.4">
      <c r="A1" s="1" t="s">
        <v>21</v>
      </c>
    </row>
    <row r="2" spans="1:3" x14ac:dyDescent="0.35">
      <c r="A2" s="2" t="s">
        <v>22</v>
      </c>
    </row>
    <row r="4" spans="1:3" x14ac:dyDescent="0.35">
      <c r="A4" s="13" t="s">
        <v>23</v>
      </c>
      <c r="B4" s="14" t="s">
        <v>24</v>
      </c>
      <c r="C4" s="13" t="s">
        <v>25</v>
      </c>
    </row>
    <row r="5" spans="1:3" x14ac:dyDescent="0.35">
      <c r="A5" s="11" t="s">
        <v>2</v>
      </c>
      <c r="B5" s="15">
        <v>43.95</v>
      </c>
      <c r="C5" s="2" t="s">
        <v>26</v>
      </c>
    </row>
    <row r="6" spans="1:3" x14ac:dyDescent="0.35">
      <c r="A6" s="11" t="s">
        <v>27</v>
      </c>
      <c r="B6" s="16">
        <v>1</v>
      </c>
      <c r="C6" s="2" t="s">
        <v>28</v>
      </c>
    </row>
    <row r="7" spans="1:3" x14ac:dyDescent="0.35">
      <c r="A7" s="11" t="s">
        <v>29</v>
      </c>
      <c r="B7" s="17">
        <v>192.68500800000001</v>
      </c>
      <c r="C7" s="2" t="s">
        <v>30</v>
      </c>
    </row>
    <row r="8" spans="1:3" x14ac:dyDescent="0.35">
      <c r="A8" s="11" t="s">
        <v>31</v>
      </c>
      <c r="B8" s="18">
        <v>1077</v>
      </c>
      <c r="C8" s="2" t="s">
        <v>32</v>
      </c>
    </row>
    <row r="9" spans="1:3" x14ac:dyDescent="0.35">
      <c r="A9" s="11" t="s">
        <v>33</v>
      </c>
      <c r="B9" s="18">
        <v>0</v>
      </c>
      <c r="C9" s="2" t="s">
        <v>34</v>
      </c>
    </row>
    <row r="10" spans="1:3" x14ac:dyDescent="0.35">
      <c r="A10" s="11" t="s">
        <v>35</v>
      </c>
      <c r="B10" s="19">
        <v>0.22</v>
      </c>
      <c r="C10" s="2" t="s">
        <v>36</v>
      </c>
    </row>
    <row r="11" spans="1:3" x14ac:dyDescent="0.35">
      <c r="A11" s="11" t="s">
        <v>11</v>
      </c>
      <c r="B11" s="20">
        <v>1.4999999999999999E-2</v>
      </c>
      <c r="C11" s="2" t="s">
        <v>37</v>
      </c>
    </row>
    <row r="12" spans="1:3" x14ac:dyDescent="0.35">
      <c r="A12" s="11" t="s">
        <v>38</v>
      </c>
      <c r="B12" s="21">
        <v>3.7999999999999999E-2</v>
      </c>
      <c r="C12" s="2" t="s">
        <v>37</v>
      </c>
    </row>
    <row r="13" spans="1:3" x14ac:dyDescent="0.35">
      <c r="A13" s="11" t="s">
        <v>39</v>
      </c>
      <c r="B13" s="21">
        <v>0.05</v>
      </c>
      <c r="C13" s="2" t="s">
        <v>37</v>
      </c>
    </row>
    <row r="14" spans="1:3" x14ac:dyDescent="0.35">
      <c r="A14" s="11" t="s">
        <v>40</v>
      </c>
      <c r="B14" s="15">
        <v>0.88878000000000013</v>
      </c>
      <c r="C14" s="2" t="s">
        <v>41</v>
      </c>
    </row>
    <row r="15" spans="1:3" x14ac:dyDescent="0.35">
      <c r="A15" s="11" t="s">
        <v>42</v>
      </c>
      <c r="B15" s="21">
        <v>0.01</v>
      </c>
      <c r="C15" s="2" t="s">
        <v>43</v>
      </c>
    </row>
    <row r="16" spans="1:3" x14ac:dyDescent="0.35">
      <c r="A16" s="11" t="s">
        <v>44</v>
      </c>
      <c r="B16" s="21">
        <v>5.5040802448146887E-2</v>
      </c>
      <c r="C16" s="2" t="s">
        <v>45</v>
      </c>
    </row>
    <row r="17" spans="1:7" x14ac:dyDescent="0.35">
      <c r="A17" s="11" t="s">
        <v>46</v>
      </c>
      <c r="B17" s="18">
        <v>1489</v>
      </c>
      <c r="C17" s="2" t="s">
        <v>47</v>
      </c>
    </row>
    <row r="18" spans="1:7" x14ac:dyDescent="0.35">
      <c r="A18" s="11" t="s">
        <v>48</v>
      </c>
      <c r="B18" s="22">
        <v>0</v>
      </c>
      <c r="C18" s="2" t="s">
        <v>37</v>
      </c>
    </row>
    <row r="19" spans="1:7" x14ac:dyDescent="0.35">
      <c r="A19" s="11" t="s">
        <v>49</v>
      </c>
      <c r="B19" s="23">
        <v>0.72826830937713893</v>
      </c>
      <c r="C19" s="2" t="s">
        <v>50</v>
      </c>
    </row>
    <row r="20" spans="1:7" x14ac:dyDescent="0.35">
      <c r="A20" s="11" t="s">
        <v>51</v>
      </c>
      <c r="B20" s="23">
        <v>0.49555099247091028</v>
      </c>
      <c r="C20" s="2" t="s">
        <v>52</v>
      </c>
    </row>
    <row r="21" spans="1:7" x14ac:dyDescent="0.35">
      <c r="A21" s="11" t="s">
        <v>53</v>
      </c>
      <c r="B21" s="22">
        <v>0</v>
      </c>
      <c r="C21" s="2" t="s">
        <v>54</v>
      </c>
    </row>
    <row r="22" spans="1:7" x14ac:dyDescent="0.35">
      <c r="A22" s="11" t="s">
        <v>55</v>
      </c>
      <c r="B22" s="21">
        <v>0.1050359232186734</v>
      </c>
      <c r="C22" s="2" t="s">
        <v>56</v>
      </c>
    </row>
    <row r="23" spans="1:7" x14ac:dyDescent="0.35">
      <c r="A23" s="11" t="s">
        <v>57</v>
      </c>
      <c r="B23" s="24">
        <v>1.44</v>
      </c>
      <c r="C23" s="2" t="s">
        <v>58</v>
      </c>
    </row>
    <row r="24" spans="1:7" x14ac:dyDescent="0.35">
      <c r="A24" s="11" t="s">
        <v>59</v>
      </c>
      <c r="B24" s="22">
        <v>12</v>
      </c>
      <c r="C24" s="2" t="s">
        <v>60</v>
      </c>
    </row>
    <row r="25" spans="1:7" x14ac:dyDescent="0.35">
      <c r="A25" s="11" t="s">
        <v>61</v>
      </c>
      <c r="B25" s="24">
        <v>0.5</v>
      </c>
      <c r="C25" s="2" t="s">
        <v>37</v>
      </c>
    </row>
    <row r="26" spans="1:7" x14ac:dyDescent="0.35">
      <c r="A26" s="11" t="s">
        <v>62</v>
      </c>
      <c r="B26" s="19">
        <v>1</v>
      </c>
      <c r="C26" s="2" t="s">
        <v>63</v>
      </c>
    </row>
    <row r="27" spans="1:7" x14ac:dyDescent="0.35">
      <c r="A27" s="11" t="s">
        <v>64</v>
      </c>
      <c r="B27" s="24">
        <v>50.664464041681867</v>
      </c>
      <c r="C27" s="2" t="s">
        <v>65</v>
      </c>
    </row>
    <row r="28" spans="1:7" x14ac:dyDescent="0.35">
      <c r="A28" s="11" t="s">
        <v>66</v>
      </c>
      <c r="B28" s="19">
        <v>0.15</v>
      </c>
      <c r="C28" s="2" t="s">
        <v>37</v>
      </c>
    </row>
    <row r="29" spans="1:7" x14ac:dyDescent="0.35">
      <c r="A29" s="11" t="s">
        <v>67</v>
      </c>
      <c r="B29" s="19">
        <v>-0.1</v>
      </c>
      <c r="C29" s="2" t="s">
        <v>37</v>
      </c>
    </row>
    <row r="32" spans="1:7" x14ac:dyDescent="0.35">
      <c r="A32" s="13" t="s">
        <v>68</v>
      </c>
      <c r="B32" s="14" t="s">
        <v>69</v>
      </c>
      <c r="C32" s="14" t="s">
        <v>70</v>
      </c>
      <c r="D32" s="14" t="s">
        <v>71</v>
      </c>
      <c r="E32" s="14" t="s">
        <v>72</v>
      </c>
      <c r="F32" s="14" t="s">
        <v>73</v>
      </c>
      <c r="G32" s="14" t="s">
        <v>74</v>
      </c>
    </row>
    <row r="33" spans="1:7" x14ac:dyDescent="0.35">
      <c r="A33" s="11" t="s">
        <v>75</v>
      </c>
      <c r="B33" s="25">
        <v>4.3847923559530599E-2</v>
      </c>
      <c r="C33" s="25">
        <v>5.9899997000000003E-2</v>
      </c>
      <c r="D33" s="25">
        <v>4.8674997749999997E-2</v>
      </c>
      <c r="E33" s="25">
        <v>3.7449998499999998E-2</v>
      </c>
      <c r="F33" s="25">
        <v>2.6224999249999999E-2</v>
      </c>
      <c r="G33" s="25">
        <v>1.4999999999999999E-2</v>
      </c>
    </row>
    <row r="34" spans="1:7" x14ac:dyDescent="0.35">
      <c r="A34" s="11" t="s">
        <v>76</v>
      </c>
      <c r="B34" s="25">
        <v>0.1640615687431298</v>
      </c>
      <c r="C34" s="25">
        <v>0.16724925499450391</v>
      </c>
      <c r="D34" s="25">
        <v>0.17043694124587791</v>
      </c>
      <c r="E34" s="25">
        <v>0.17362462749725191</v>
      </c>
      <c r="F34" s="25">
        <v>0.17681231374862599</v>
      </c>
      <c r="G34" s="25">
        <v>0.18</v>
      </c>
    </row>
    <row r="35" spans="1:7" x14ac:dyDescent="0.35">
      <c r="A35" s="11" t="s">
        <v>77</v>
      </c>
      <c r="B35" s="25">
        <v>4.5343480005294222E-2</v>
      </c>
      <c r="C35" s="25">
        <v>4.5343480005294222E-2</v>
      </c>
      <c r="D35" s="25">
        <v>4.5343480005294222E-2</v>
      </c>
      <c r="E35" s="25">
        <v>4.5343480005294222E-2</v>
      </c>
      <c r="F35" s="25">
        <v>4.5343480005294222E-2</v>
      </c>
      <c r="G35" s="25">
        <v>4.5343480005294222E-2</v>
      </c>
    </row>
    <row r="36" spans="1:7" x14ac:dyDescent="0.35">
      <c r="A36" s="11" t="s">
        <v>78</v>
      </c>
      <c r="B36" s="25">
        <v>4.9347107212782709E-2</v>
      </c>
      <c r="C36" s="25">
        <v>4.8999816571337958E-2</v>
      </c>
      <c r="D36" s="25">
        <v>4.8652525929893199E-2</v>
      </c>
      <c r="E36" s="25">
        <v>4.8305235288448448E-2</v>
      </c>
      <c r="F36" s="25">
        <v>4.7957944647003689E-2</v>
      </c>
      <c r="G36" s="25">
        <v>4.7610654005558938E-2</v>
      </c>
    </row>
    <row r="37" spans="1:7" x14ac:dyDescent="0.35">
      <c r="A37" s="11" t="s">
        <v>79</v>
      </c>
      <c r="B37" s="25">
        <v>-0.15111014230558731</v>
      </c>
      <c r="C37" s="25">
        <v>-0.15111014230558731</v>
      </c>
      <c r="D37" s="25">
        <v>-0.15111014230558731</v>
      </c>
      <c r="E37" s="25">
        <v>-0.15111014230558731</v>
      </c>
      <c r="F37" s="25">
        <v>-0.15111014230558731</v>
      </c>
      <c r="G37" s="25">
        <v>-0.15111014230558731</v>
      </c>
    </row>
    <row r="39" spans="1:7" x14ac:dyDescent="0.35">
      <c r="A39" s="2" t="s">
        <v>80</v>
      </c>
    </row>
    <row r="40" spans="1:7" x14ac:dyDescent="0.35">
      <c r="A40" s="2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5" width="12" customWidth="1"/>
  </cols>
  <sheetData>
    <row r="1" spans="1:5" ht="18" x14ac:dyDescent="0.4">
      <c r="A1" s="1" t="s">
        <v>82</v>
      </c>
    </row>
    <row r="2" spans="1:5" x14ac:dyDescent="0.35">
      <c r="A2" s="2" t="s">
        <v>83</v>
      </c>
    </row>
    <row r="4" spans="1:5" x14ac:dyDescent="0.35">
      <c r="A4" s="13" t="s">
        <v>84</v>
      </c>
      <c r="B4" s="14" t="s">
        <v>85</v>
      </c>
      <c r="C4" s="14" t="s">
        <v>86</v>
      </c>
      <c r="D4" s="14" t="s">
        <v>87</v>
      </c>
      <c r="E4" s="14" t="s">
        <v>88</v>
      </c>
    </row>
    <row r="5" spans="1:5" x14ac:dyDescent="0.35">
      <c r="A5" s="3" t="s">
        <v>89</v>
      </c>
      <c r="B5" s="18">
        <v>4082</v>
      </c>
      <c r="C5" s="18">
        <v>4734</v>
      </c>
      <c r="D5" s="18">
        <v>5064</v>
      </c>
      <c r="E5" s="18">
        <v>5509</v>
      </c>
    </row>
    <row r="6" spans="1:5" x14ac:dyDescent="0.35">
      <c r="A6" s="26" t="s">
        <v>90</v>
      </c>
      <c r="B6" s="27"/>
      <c r="C6" s="27">
        <f>IF(B5=0,"",C5/B5-1)</f>
        <v>0.15972562469377749</v>
      </c>
      <c r="D6" s="27">
        <f>IF(C5=0,"",D5/C5-1)</f>
        <v>6.9708491761723668E-2</v>
      </c>
      <c r="E6" s="27">
        <f>IF(D5=0,"",E5/D5-1)</f>
        <v>8.787519747235395E-2</v>
      </c>
    </row>
    <row r="7" spans="1:5" x14ac:dyDescent="0.35">
      <c r="A7" s="11" t="s">
        <v>91</v>
      </c>
      <c r="B7" s="18">
        <v>1159</v>
      </c>
      <c r="C7" s="18">
        <v>1885</v>
      </c>
      <c r="D7" s="18">
        <v>1966</v>
      </c>
      <c r="E7" s="18">
        <v>2144</v>
      </c>
    </row>
    <row r="8" spans="1:5" x14ac:dyDescent="0.35">
      <c r="A8" s="11" t="s">
        <v>92</v>
      </c>
      <c r="B8" s="18">
        <v>1069.075</v>
      </c>
      <c r="C8" s="18">
        <v>1160.1424999999999</v>
      </c>
      <c r="D8" s="18">
        <v>1186.7075</v>
      </c>
      <c r="E8" s="18">
        <v>1222.0625</v>
      </c>
    </row>
    <row r="9" spans="1:5" x14ac:dyDescent="0.35">
      <c r="A9" s="3" t="s">
        <v>93</v>
      </c>
      <c r="B9" s="28">
        <f>B7-B8</f>
        <v>89.924999999999955</v>
      </c>
      <c r="C9" s="28">
        <f>C7-C8</f>
        <v>724.85750000000007</v>
      </c>
      <c r="D9" s="28">
        <f>D7-D8</f>
        <v>779.29250000000002</v>
      </c>
      <c r="E9" s="28">
        <f>E7-E8</f>
        <v>921.9375</v>
      </c>
    </row>
    <row r="10" spans="1:5" x14ac:dyDescent="0.35">
      <c r="A10" s="26" t="s">
        <v>76</v>
      </c>
      <c r="B10" s="27">
        <f>IF(B5=0,"",B9/B5)</f>
        <v>2.2029642332190093E-2</v>
      </c>
      <c r="C10" s="27">
        <f>IF(C5=0,"",C9/C5)</f>
        <v>0.15311734262779891</v>
      </c>
      <c r="D10" s="27">
        <f>IF(D5=0,"",D9/D5)</f>
        <v>0.15388872432859399</v>
      </c>
      <c r="E10" s="27">
        <f>IF(E5=0,"",E9/E5)</f>
        <v>0.1673511526592848</v>
      </c>
    </row>
    <row r="11" spans="1:5" x14ac:dyDescent="0.35">
      <c r="A11" s="11" t="s">
        <v>94</v>
      </c>
      <c r="B11" s="18">
        <v>1120</v>
      </c>
      <c r="C11" s="18">
        <v>1177</v>
      </c>
      <c r="D11" s="18">
        <v>1198</v>
      </c>
      <c r="E11" s="18">
        <v>1217</v>
      </c>
    </row>
    <row r="12" spans="1:5" x14ac:dyDescent="0.35">
      <c r="A12" s="11" t="s">
        <v>95</v>
      </c>
      <c r="B12" s="18">
        <v>865</v>
      </c>
      <c r="C12" s="18">
        <v>947</v>
      </c>
      <c r="D12" s="18">
        <v>962</v>
      </c>
      <c r="E12" s="18">
        <v>992</v>
      </c>
    </row>
    <row r="13" spans="1:5" x14ac:dyDescent="0.35">
      <c r="A13" s="11" t="s">
        <v>96</v>
      </c>
      <c r="B13" s="29">
        <f>MAX(B11-B12,0)</f>
        <v>255</v>
      </c>
      <c r="C13" s="29">
        <f>MAX(C11-C12,0)</f>
        <v>230</v>
      </c>
      <c r="D13" s="29">
        <f>MAX(D11-D12,0)</f>
        <v>236</v>
      </c>
      <c r="E13" s="29">
        <f>MAX(E11-E12,0)</f>
        <v>225</v>
      </c>
    </row>
    <row r="14" spans="1:5" x14ac:dyDescent="0.35">
      <c r="A14" s="3" t="s">
        <v>97</v>
      </c>
      <c r="B14" s="28">
        <f>B9-B13</f>
        <v>-165.07500000000005</v>
      </c>
      <c r="C14" s="28">
        <f>C9-C13</f>
        <v>494.85750000000007</v>
      </c>
      <c r="D14" s="28">
        <f>D9-D13</f>
        <v>543.29250000000002</v>
      </c>
      <c r="E14" s="28">
        <f>E9-E13</f>
        <v>696.9375</v>
      </c>
    </row>
    <row r="15" spans="1:5" x14ac:dyDescent="0.35">
      <c r="A15" s="26" t="s">
        <v>98</v>
      </c>
      <c r="B15" s="27">
        <f>IF(B5=0,"",B14/B5)</f>
        <v>-4.0439735423811865E-2</v>
      </c>
      <c r="C15" s="27">
        <f>IF(C5=0,"",C14/C5)</f>
        <v>0.10453263624841573</v>
      </c>
      <c r="D15" s="27">
        <f>IF(D5=0,"",D14/D5)</f>
        <v>0.10728524881516588</v>
      </c>
      <c r="E15" s="27">
        <f>IF(E5=0,"",E14/E5)</f>
        <v>0.12650889453621347</v>
      </c>
    </row>
    <row r="16" spans="1:5" x14ac:dyDescent="0.35">
      <c r="A16" s="26" t="s">
        <v>99</v>
      </c>
      <c r="B16" s="19">
        <v>0.22</v>
      </c>
      <c r="C16" s="19">
        <v>0.28434504792332271</v>
      </c>
      <c r="D16" s="19">
        <v>0.24884792626728111</v>
      </c>
      <c r="E16" s="19">
        <v>0.2288961038961039</v>
      </c>
    </row>
    <row r="17" spans="1:5" x14ac:dyDescent="0.35">
      <c r="A17" s="3" t="s">
        <v>100</v>
      </c>
      <c r="B17" s="28">
        <f>B14*(1-B16)</f>
        <v>-128.75850000000003</v>
      </c>
      <c r="C17" s="28">
        <f>C14*(1-C16)</f>
        <v>354.14722044728438</v>
      </c>
      <c r="D17" s="28">
        <f>D14*(1-D16)</f>
        <v>408.09528801843317</v>
      </c>
      <c r="E17" s="28">
        <f>E14*(1-E16)</f>
        <v>537.41122159090912</v>
      </c>
    </row>
    <row r="18" spans="1:5" x14ac:dyDescent="0.35">
      <c r="A18" s="11" t="s">
        <v>101</v>
      </c>
      <c r="B18" s="18">
        <v>-256</v>
      </c>
      <c r="C18" s="18">
        <v>-167</v>
      </c>
      <c r="D18" s="18">
        <v>-287</v>
      </c>
      <c r="E18" s="18">
        <v>-309</v>
      </c>
    </row>
    <row r="19" spans="1:5" x14ac:dyDescent="0.35">
      <c r="A19" s="11" t="s">
        <v>102</v>
      </c>
      <c r="B19" s="18">
        <v>-44</v>
      </c>
      <c r="C19" s="18">
        <v>-22</v>
      </c>
      <c r="D19" s="18">
        <v>36</v>
      </c>
      <c r="E19" s="18">
        <v>65</v>
      </c>
    </row>
    <row r="20" spans="1:5" x14ac:dyDescent="0.35">
      <c r="A20" s="3" t="s">
        <v>103</v>
      </c>
      <c r="B20" s="28">
        <f>B17+B13+B18+B19</f>
        <v>-173.75850000000003</v>
      </c>
      <c r="C20" s="28">
        <f>C17+C13+C18+C19</f>
        <v>395.14722044728433</v>
      </c>
      <c r="D20" s="28">
        <f>D17+D13+D18+D19</f>
        <v>393.09528801843317</v>
      </c>
      <c r="E20" s="28">
        <f>E17+E13+E18+E19</f>
        <v>518.41122159090912</v>
      </c>
    </row>
    <row r="21" spans="1:5" x14ac:dyDescent="0.35">
      <c r="A21" s="26" t="s">
        <v>104</v>
      </c>
      <c r="B21" s="27">
        <f>IF(B5=0,"",B20/B5)</f>
        <v>-4.2567001469867721E-2</v>
      </c>
      <c r="C21" s="27">
        <f>IF(C5=0,"",C20/C5)</f>
        <v>8.3470050791568301E-2</v>
      </c>
      <c r="D21" s="27">
        <f>IF(D5=0,"",D20/D5)</f>
        <v>7.7625451820385702E-2</v>
      </c>
      <c r="E21" s="27">
        <f>IF(E5=0,"",E20/E5)</f>
        <v>9.4102599671611747E-2</v>
      </c>
    </row>
    <row r="22" spans="1:5" x14ac:dyDescent="0.35">
      <c r="A22" s="11" t="s">
        <v>105</v>
      </c>
      <c r="B22" s="18">
        <v>-246</v>
      </c>
      <c r="C22" s="18">
        <v>224</v>
      </c>
      <c r="D22" s="18">
        <v>326</v>
      </c>
      <c r="E22" s="18">
        <v>474</v>
      </c>
    </row>
    <row r="23" spans="1:5" x14ac:dyDescent="0.35">
      <c r="A23" s="11" t="s">
        <v>106</v>
      </c>
      <c r="B23" s="24">
        <v>-1.25</v>
      </c>
      <c r="C23" s="24">
        <v>1.1000000000000001</v>
      </c>
      <c r="D23" s="24">
        <v>1.59</v>
      </c>
      <c r="E23" s="24">
        <v>2.34</v>
      </c>
    </row>
    <row r="24" spans="1:5" x14ac:dyDescent="0.35">
      <c r="A24" s="11" t="s">
        <v>107</v>
      </c>
      <c r="B24" s="18">
        <v>323</v>
      </c>
      <c r="C24" s="18">
        <v>259</v>
      </c>
      <c r="D24" s="18">
        <v>348</v>
      </c>
      <c r="E24" s="18">
        <v>486</v>
      </c>
    </row>
    <row r="25" spans="1:5" x14ac:dyDescent="0.35">
      <c r="A25" s="11" t="s">
        <v>108</v>
      </c>
      <c r="B25" s="18">
        <v>6524</v>
      </c>
      <c r="C25" s="18">
        <v>6676</v>
      </c>
      <c r="D25" s="18">
        <v>6501</v>
      </c>
      <c r="E25" s="18">
        <v>6665</v>
      </c>
    </row>
    <row r="26" spans="1:5" x14ac:dyDescent="0.35">
      <c r="A26" s="11" t="s">
        <v>109</v>
      </c>
      <c r="B26" s="18">
        <v>4535</v>
      </c>
      <c r="C26" s="18">
        <v>4938</v>
      </c>
      <c r="D26" s="18">
        <v>5049</v>
      </c>
      <c r="E26" s="18">
        <v>5176</v>
      </c>
    </row>
    <row r="27" spans="1:5" x14ac:dyDescent="0.35">
      <c r="A27" s="11" t="s">
        <v>110</v>
      </c>
      <c r="B27" s="18">
        <v>1666</v>
      </c>
      <c r="C27" s="18">
        <v>1479</v>
      </c>
      <c r="D27" s="18">
        <v>1104</v>
      </c>
      <c r="E27" s="18">
        <v>1003</v>
      </c>
    </row>
    <row r="28" spans="1:5" x14ac:dyDescent="0.35">
      <c r="A28" s="11" t="s">
        <v>111</v>
      </c>
      <c r="B28" s="30">
        <f>IF(B9&lt;=0,"n.m.",B27/B9)</f>
        <v>18.526549902696701</v>
      </c>
      <c r="C28" s="30">
        <f>IF(C9&lt;=0,"n.m.",C27/C9)</f>
        <v>2.0404010443431981</v>
      </c>
      <c r="D28" s="30">
        <f>IF(D9&lt;=0,"n.m.",D27/D9)</f>
        <v>1.4166696073682217</v>
      </c>
      <c r="E28" s="30">
        <f>IF(E9&lt;=0,"n.m.",E27/E9)</f>
        <v>1.0879262422886584</v>
      </c>
    </row>
    <row r="29" spans="1:5" x14ac:dyDescent="0.35">
      <c r="A29" s="11" t="s">
        <v>112</v>
      </c>
      <c r="B29" s="18">
        <v>95.925000000000011</v>
      </c>
      <c r="C29" s="18">
        <v>181.85749999999999</v>
      </c>
      <c r="D29" s="18">
        <v>109.2925</v>
      </c>
      <c r="E29" s="18">
        <v>80.9375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9" width="12" customWidth="1"/>
  </cols>
  <sheetData>
    <row r="1" spans="1:9" ht="18" x14ac:dyDescent="0.4">
      <c r="A1" s="1" t="s">
        <v>113</v>
      </c>
    </row>
    <row r="2" spans="1:9" x14ac:dyDescent="0.35">
      <c r="A2" s="2" t="s">
        <v>114</v>
      </c>
    </row>
    <row r="4" spans="1:9" x14ac:dyDescent="0.35">
      <c r="A4" s="13" t="s">
        <v>84</v>
      </c>
      <c r="B4" s="14" t="s">
        <v>88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73</v>
      </c>
      <c r="H4" s="14" t="s">
        <v>74</v>
      </c>
      <c r="I4" s="14" t="s">
        <v>115</v>
      </c>
    </row>
    <row r="5" spans="1:9" x14ac:dyDescent="0.35">
      <c r="A5" s="11" t="s">
        <v>75</v>
      </c>
      <c r="C5" s="31">
        <f>Inputs!B33</f>
        <v>4.3847923559530599E-2</v>
      </c>
      <c r="D5" s="31">
        <f>Inputs!C33</f>
        <v>5.9899997000000003E-2</v>
      </c>
      <c r="E5" s="31">
        <f>Inputs!D33</f>
        <v>4.8674997749999997E-2</v>
      </c>
      <c r="F5" s="31">
        <f>Inputs!E33</f>
        <v>3.7449998499999998E-2</v>
      </c>
      <c r="G5" s="31">
        <f>Inputs!F33</f>
        <v>2.6224999249999999E-2</v>
      </c>
      <c r="H5" s="31">
        <f>Inputs!G33</f>
        <v>1.4999999999999999E-2</v>
      </c>
      <c r="I5" s="31">
        <f>Inputs!$B$11</f>
        <v>1.4999999999999999E-2</v>
      </c>
    </row>
    <row r="6" spans="1:9" x14ac:dyDescent="0.35">
      <c r="A6" s="3" t="s">
        <v>89</v>
      </c>
      <c r="B6" s="32">
        <f>Historicals!E5</f>
        <v>5509</v>
      </c>
      <c r="C6" s="28">
        <f t="shared" ref="C6:I6" si="0">B6*(1+C5)</f>
        <v>5750.5582108894541</v>
      </c>
      <c r="D6" s="28">
        <f t="shared" si="0"/>
        <v>6095.0166304700579</v>
      </c>
      <c r="E6" s="28">
        <f t="shared" si="0"/>
        <v>6391.6915512444011</v>
      </c>
      <c r="F6" s="28">
        <f t="shared" si="0"/>
        <v>6631.0603902509674</v>
      </c>
      <c r="G6" s="28">
        <f t="shared" si="0"/>
        <v>6804.9599440120046</v>
      </c>
      <c r="H6" s="28">
        <f t="shared" si="0"/>
        <v>6907.034343172184</v>
      </c>
      <c r="I6" s="28">
        <f t="shared" si="0"/>
        <v>7010.6398583197661</v>
      </c>
    </row>
    <row r="7" spans="1:9" x14ac:dyDescent="0.35">
      <c r="A7" s="26" t="s">
        <v>76</v>
      </c>
      <c r="B7" s="27">
        <f>B8/B6</f>
        <v>0.1673511526592848</v>
      </c>
      <c r="C7" s="31">
        <f>Inputs!B34</f>
        <v>0.1640615687431298</v>
      </c>
      <c r="D7" s="31">
        <f>Inputs!C34</f>
        <v>0.16724925499450391</v>
      </c>
      <c r="E7" s="31">
        <f>Inputs!D34</f>
        <v>0.17043694124587791</v>
      </c>
      <c r="F7" s="31">
        <f>Inputs!E34</f>
        <v>0.17362462749725191</v>
      </c>
      <c r="G7" s="31">
        <f>Inputs!F34</f>
        <v>0.17681231374862599</v>
      </c>
      <c r="H7" s="31">
        <f>Inputs!G34</f>
        <v>0.18</v>
      </c>
      <c r="I7" s="27">
        <f>H7</f>
        <v>0.18</v>
      </c>
    </row>
    <row r="8" spans="1:9" x14ac:dyDescent="0.35">
      <c r="A8" s="3" t="s">
        <v>93</v>
      </c>
      <c r="B8" s="32">
        <f>Historicals!E9</f>
        <v>921.9375</v>
      </c>
      <c r="C8" s="28">
        <f t="shared" ref="C8:I8" si="1">C6*C7</f>
        <v>943.44560122720964</v>
      </c>
      <c r="D8" s="28">
        <f t="shared" si="1"/>
        <v>1019.3869906252287</v>
      </c>
      <c r="E8" s="28">
        <f t="shared" si="1"/>
        <v>1089.3803573812163</v>
      </c>
      <c r="F8" s="28">
        <f t="shared" si="1"/>
        <v>1151.3153901691062</v>
      </c>
      <c r="G8" s="28">
        <f t="shared" si="1"/>
        <v>1203.200712667483</v>
      </c>
      <c r="H8" s="28">
        <f t="shared" si="1"/>
        <v>1243.2661817709932</v>
      </c>
      <c r="I8" s="28">
        <f t="shared" si="1"/>
        <v>1261.9151744975579</v>
      </c>
    </row>
    <row r="9" spans="1:9" x14ac:dyDescent="0.35">
      <c r="A9" s="26" t="s">
        <v>77</v>
      </c>
      <c r="C9" s="31">
        <f>Inputs!B35</f>
        <v>4.5343480005294222E-2</v>
      </c>
      <c r="D9" s="31">
        <f>Inputs!C35</f>
        <v>4.5343480005294222E-2</v>
      </c>
      <c r="E9" s="31">
        <f>Inputs!D35</f>
        <v>4.5343480005294222E-2</v>
      </c>
      <c r="F9" s="31">
        <f>Inputs!E35</f>
        <v>4.5343480005294222E-2</v>
      </c>
      <c r="G9" s="31">
        <f>Inputs!F35</f>
        <v>4.5343480005294222E-2</v>
      </c>
      <c r="H9" s="31">
        <f>Inputs!G35</f>
        <v>4.5343480005294222E-2</v>
      </c>
      <c r="I9" s="27">
        <f>H9</f>
        <v>4.5343480005294222E-2</v>
      </c>
    </row>
    <row r="10" spans="1:9" x14ac:dyDescent="0.35">
      <c r="A10" s="11" t="s">
        <v>96</v>
      </c>
      <c r="B10" s="32">
        <f>Historicals!E13</f>
        <v>225</v>
      </c>
      <c r="C10" s="29">
        <f t="shared" ref="C10:I10" si="2">C6*C9</f>
        <v>260.7503212547465</v>
      </c>
      <c r="D10" s="29">
        <f t="shared" si="2"/>
        <v>276.36926471565482</v>
      </c>
      <c r="E10" s="29">
        <f t="shared" si="2"/>
        <v>289.82153805385849</v>
      </c>
      <c r="F10" s="29">
        <f t="shared" si="2"/>
        <v>300.67535421924322</v>
      </c>
      <c r="G10" s="29">
        <f t="shared" si="2"/>
        <v>308.5605651581364</v>
      </c>
      <c r="H10" s="29">
        <f t="shared" si="2"/>
        <v>313.18897363550843</v>
      </c>
      <c r="I10" s="29">
        <f t="shared" si="2"/>
        <v>317.88680824004103</v>
      </c>
    </row>
    <row r="11" spans="1:9" x14ac:dyDescent="0.35">
      <c r="A11" s="3" t="s">
        <v>97</v>
      </c>
      <c r="B11" s="32">
        <f>Historicals!E14</f>
        <v>696.9375</v>
      </c>
      <c r="C11" s="28">
        <f t="shared" ref="C11:I11" si="3">C8-C10</f>
        <v>682.69527997246314</v>
      </c>
      <c r="D11" s="28">
        <f t="shared" si="3"/>
        <v>743.01772590957387</v>
      </c>
      <c r="E11" s="28">
        <f t="shared" si="3"/>
        <v>799.55881932735781</v>
      </c>
      <c r="F11" s="28">
        <f t="shared" si="3"/>
        <v>850.64003594986298</v>
      </c>
      <c r="G11" s="28">
        <f t="shared" si="3"/>
        <v>894.64014750934666</v>
      </c>
      <c r="H11" s="28">
        <f t="shared" si="3"/>
        <v>930.07720813548474</v>
      </c>
      <c r="I11" s="28">
        <f t="shared" si="3"/>
        <v>944.02836625751684</v>
      </c>
    </row>
    <row r="12" spans="1:9" x14ac:dyDescent="0.35">
      <c r="A12" s="26" t="s">
        <v>98</v>
      </c>
      <c r="C12" s="27">
        <f t="shared" ref="C12:I12" si="4">C11/C6</f>
        <v>0.11871808873783557</v>
      </c>
      <c r="D12" s="27">
        <f t="shared" si="4"/>
        <v>0.12190577498920968</v>
      </c>
      <c r="E12" s="27">
        <f t="shared" si="4"/>
        <v>0.12509346124058371</v>
      </c>
      <c r="F12" s="27">
        <f t="shared" si="4"/>
        <v>0.12828114749195771</v>
      </c>
      <c r="G12" s="27">
        <f t="shared" si="4"/>
        <v>0.13146883374333179</v>
      </c>
      <c r="H12" s="27">
        <f t="shared" si="4"/>
        <v>0.13465651999470579</v>
      </c>
      <c r="I12" s="27">
        <f t="shared" si="4"/>
        <v>0.13465651999470576</v>
      </c>
    </row>
    <row r="13" spans="1:9" x14ac:dyDescent="0.35">
      <c r="A13" s="11" t="s">
        <v>116</v>
      </c>
      <c r="C13" s="29">
        <f>-MAX(C11,0)*Inputs!$B$10</f>
        <v>-150.1929615939419</v>
      </c>
      <c r="D13" s="29">
        <f>-MAX(D11,0)*Inputs!$B$10</f>
        <v>-163.46389970010625</v>
      </c>
      <c r="E13" s="29">
        <f>-MAX(E11,0)*Inputs!$B$10</f>
        <v>-175.90294025201871</v>
      </c>
      <c r="F13" s="29">
        <f>-MAX(F11,0)*Inputs!$B$10</f>
        <v>-187.14080790896986</v>
      </c>
      <c r="G13" s="29">
        <f>-MAX(G11,0)*Inputs!$B$10</f>
        <v>-196.82083245205627</v>
      </c>
      <c r="H13" s="29">
        <f>-MAX(H11,0)*Inputs!$B$10</f>
        <v>-204.61698578980665</v>
      </c>
      <c r="I13" s="29">
        <f>-MAX(I11,0)*Inputs!$B$10</f>
        <v>-207.68624057665372</v>
      </c>
    </row>
    <row r="14" spans="1:9" x14ac:dyDescent="0.35">
      <c r="A14" s="3" t="s">
        <v>100</v>
      </c>
      <c r="B14" s="32">
        <f>Historicals!E17</f>
        <v>537.41122159090912</v>
      </c>
      <c r="C14" s="28">
        <f t="shared" ref="C14:I14" si="5">C11+C13</f>
        <v>532.5023183785213</v>
      </c>
      <c r="D14" s="28">
        <f t="shared" si="5"/>
        <v>579.55382620946762</v>
      </c>
      <c r="E14" s="28">
        <f t="shared" si="5"/>
        <v>623.65587907533904</v>
      </c>
      <c r="F14" s="28">
        <f t="shared" si="5"/>
        <v>663.49922804089306</v>
      </c>
      <c r="G14" s="28">
        <f t="shared" si="5"/>
        <v>697.8193150572904</v>
      </c>
      <c r="H14" s="28">
        <f t="shared" si="5"/>
        <v>725.46022234567806</v>
      </c>
      <c r="I14" s="28">
        <f t="shared" si="5"/>
        <v>736.34212568086309</v>
      </c>
    </row>
    <row r="15" spans="1:9" x14ac:dyDescent="0.35">
      <c r="A15" s="26" t="s">
        <v>78</v>
      </c>
      <c r="C15" s="31">
        <f>Inputs!B36</f>
        <v>4.9347107212782709E-2</v>
      </c>
      <c r="D15" s="31">
        <f>Inputs!C36</f>
        <v>4.8999816571337958E-2</v>
      </c>
      <c r="E15" s="31">
        <f>Inputs!D36</f>
        <v>4.8652525929893199E-2</v>
      </c>
      <c r="F15" s="31">
        <f>Inputs!E36</f>
        <v>4.8305235288448448E-2</v>
      </c>
      <c r="G15" s="31">
        <f>Inputs!F36</f>
        <v>4.7957944647003689E-2</v>
      </c>
      <c r="H15" s="31">
        <f>Inputs!G36</f>
        <v>4.7610654005558938E-2</v>
      </c>
      <c r="I15" s="27">
        <f>H15</f>
        <v>4.7610654005558938E-2</v>
      </c>
    </row>
    <row r="16" spans="1:9" x14ac:dyDescent="0.35">
      <c r="A16" s="11" t="s">
        <v>101</v>
      </c>
      <c r="B16" s="32">
        <f>Historicals!E18</f>
        <v>-309</v>
      </c>
      <c r="C16" s="29">
        <f t="shared" ref="C16:I16" si="6">-C6*C15</f>
        <v>-283.77341256610981</v>
      </c>
      <c r="D16" s="29">
        <f t="shared" si="6"/>
        <v>-298.65469689228718</v>
      </c>
      <c r="E16" s="29">
        <f t="shared" si="6"/>
        <v>-310.97193893279751</v>
      </c>
      <c r="F16" s="29">
        <f t="shared" si="6"/>
        <v>-320.31493236298377</v>
      </c>
      <c r="G16" s="29">
        <f t="shared" si="6"/>
        <v>-326.35189232000505</v>
      </c>
      <c r="H16" s="29">
        <f t="shared" si="6"/>
        <v>-328.84842231728391</v>
      </c>
      <c r="I16" s="29">
        <f t="shared" si="6"/>
        <v>-333.7811486520431</v>
      </c>
    </row>
    <row r="17" spans="1:9" x14ac:dyDescent="0.35">
      <c r="A17" s="26" t="s">
        <v>79</v>
      </c>
      <c r="C17" s="31">
        <f>Inputs!B37</f>
        <v>-0.15111014230558731</v>
      </c>
      <c r="D17" s="31">
        <f>Inputs!C37</f>
        <v>-0.15111014230558731</v>
      </c>
      <c r="E17" s="31">
        <f>Inputs!D37</f>
        <v>-0.15111014230558731</v>
      </c>
      <c r="F17" s="31">
        <f>Inputs!E37</f>
        <v>-0.15111014230558731</v>
      </c>
      <c r="G17" s="31">
        <f>Inputs!F37</f>
        <v>-0.15111014230558731</v>
      </c>
      <c r="H17" s="31">
        <f>Inputs!G37</f>
        <v>-0.15111014230558731</v>
      </c>
      <c r="I17" s="27">
        <f>H17</f>
        <v>-0.15111014230558731</v>
      </c>
    </row>
    <row r="18" spans="1:9" x14ac:dyDescent="0.35">
      <c r="A18" s="11" t="s">
        <v>102</v>
      </c>
      <c r="B18" s="32">
        <f>Historicals!E19</f>
        <v>65</v>
      </c>
      <c r="C18" s="29">
        <f t="shared" ref="C18:I18" si="7">-C17*(C6-B6)</f>
        <v>36.501895622588485</v>
      </c>
      <c r="D18" s="29">
        <f t="shared" si="7"/>
        <v>52.051160801182732</v>
      </c>
      <c r="E18" s="29">
        <f t="shared" si="7"/>
        <v>44.830589496709848</v>
      </c>
      <c r="F18" s="29">
        <f t="shared" si="7"/>
        <v>36.171059325805452</v>
      </c>
      <c r="G18" s="29">
        <f t="shared" si="7"/>
        <v>26.277986315708457</v>
      </c>
      <c r="H18" s="29">
        <f t="shared" si="7"/>
        <v>15.424476982852028</v>
      </c>
      <c r="I18" s="29">
        <f t="shared" si="7"/>
        <v>15.65584413759481</v>
      </c>
    </row>
    <row r="19" spans="1:9" x14ac:dyDescent="0.35">
      <c r="A19" s="3" t="s">
        <v>103</v>
      </c>
      <c r="B19" s="32">
        <f>Historicals!E20</f>
        <v>518.41122159090912</v>
      </c>
      <c r="C19" s="28">
        <f t="shared" ref="C19:I19" si="8">C14+C10+C16+C18</f>
        <v>545.98112268974648</v>
      </c>
      <c r="D19" s="28">
        <f t="shared" si="8"/>
        <v>609.31955483401794</v>
      </c>
      <c r="E19" s="28">
        <f t="shared" si="8"/>
        <v>647.33606769310984</v>
      </c>
      <c r="F19" s="28">
        <f t="shared" si="8"/>
        <v>680.03070922295797</v>
      </c>
      <c r="G19" s="28">
        <f t="shared" si="8"/>
        <v>706.30597421113009</v>
      </c>
      <c r="H19" s="28">
        <f t="shared" si="8"/>
        <v>725.22525064675472</v>
      </c>
      <c r="I19" s="28">
        <f t="shared" si="8"/>
        <v>736.10362940645587</v>
      </c>
    </row>
    <row r="20" spans="1:9" x14ac:dyDescent="0.35">
      <c r="A20" s="26" t="s">
        <v>104</v>
      </c>
      <c r="C20" s="27">
        <f t="shared" ref="C20:I20" si="9">C19/C6</f>
        <v>9.4944021548352978E-2</v>
      </c>
      <c r="D20" s="27">
        <f t="shared" si="9"/>
        <v>9.9970121785709742E-2</v>
      </c>
      <c r="E20" s="27">
        <f t="shared" si="9"/>
        <v>0.10127773884318303</v>
      </c>
      <c r="F20" s="27">
        <f t="shared" si="9"/>
        <v>0.10255233238755358</v>
      </c>
      <c r="G20" s="27">
        <f t="shared" si="9"/>
        <v>0.10379281877076162</v>
      </c>
      <c r="H20" s="27">
        <f t="shared" si="9"/>
        <v>0.10499806640800363</v>
      </c>
      <c r="I20" s="27">
        <f t="shared" si="9"/>
        <v>0.10499806640800362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defaultRowHeight="14.5" x14ac:dyDescent="0.35"/>
  <cols>
    <col min="1" max="1" width="34" customWidth="1"/>
    <col min="2" max="2" width="14" customWidth="1"/>
    <col min="3" max="3" width="40" customWidth="1"/>
  </cols>
  <sheetData>
    <row r="1" spans="1:3" ht="18" x14ac:dyDescent="0.4">
      <c r="A1" s="1" t="s">
        <v>117</v>
      </c>
    </row>
    <row r="2" spans="1:3" x14ac:dyDescent="0.35">
      <c r="A2" s="2" t="s">
        <v>118</v>
      </c>
    </row>
    <row r="4" spans="1:3" x14ac:dyDescent="0.35">
      <c r="A4" s="13" t="s">
        <v>119</v>
      </c>
      <c r="B4" s="14" t="s">
        <v>24</v>
      </c>
    </row>
    <row r="5" spans="1:3" x14ac:dyDescent="0.35">
      <c r="A5" s="11" t="s">
        <v>38</v>
      </c>
      <c r="B5" s="7">
        <f>Inputs!$B$12</f>
        <v>3.7999999999999999E-2</v>
      </c>
    </row>
    <row r="6" spans="1:3" x14ac:dyDescent="0.35">
      <c r="A6" s="11" t="s">
        <v>40</v>
      </c>
      <c r="B6" s="4">
        <f>Inputs!$B$14</f>
        <v>0.88878000000000013</v>
      </c>
      <c r="C6" s="2" t="s">
        <v>41</v>
      </c>
    </row>
    <row r="7" spans="1:3" x14ac:dyDescent="0.35">
      <c r="A7" s="11" t="s">
        <v>39</v>
      </c>
      <c r="B7" s="7">
        <f>Inputs!$B$13</f>
        <v>0.05</v>
      </c>
    </row>
    <row r="8" spans="1:3" x14ac:dyDescent="0.35">
      <c r="A8" s="11" t="s">
        <v>42</v>
      </c>
      <c r="B8" s="7">
        <f>Inputs!$B$15</f>
        <v>0.01</v>
      </c>
    </row>
    <row r="9" spans="1:3" x14ac:dyDescent="0.35">
      <c r="A9" s="3" t="s">
        <v>120</v>
      </c>
      <c r="B9" s="33">
        <f>B5+B6*B7+B8</f>
        <v>9.2439000000000007E-2</v>
      </c>
    </row>
    <row r="10" spans="1:3" x14ac:dyDescent="0.35">
      <c r="A10" s="11" t="s">
        <v>44</v>
      </c>
      <c r="B10" s="7">
        <f>Inputs!$B$16</f>
        <v>5.5040802448146887E-2</v>
      </c>
    </row>
    <row r="11" spans="1:3" x14ac:dyDescent="0.35">
      <c r="A11" s="11" t="s">
        <v>35</v>
      </c>
      <c r="B11" s="5">
        <f>Inputs!$B$10</f>
        <v>0.22</v>
      </c>
    </row>
    <row r="12" spans="1:3" x14ac:dyDescent="0.35">
      <c r="A12" s="11" t="s">
        <v>121</v>
      </c>
      <c r="B12" s="34">
        <f>B10*(1-B11)</f>
        <v>4.293182590955457E-2</v>
      </c>
    </row>
    <row r="13" spans="1:3" x14ac:dyDescent="0.35">
      <c r="A13" s="11" t="s">
        <v>122</v>
      </c>
      <c r="B13" s="29">
        <f>(Inputs!$B$5*Inputs!$B$6)*Inputs!$B$7</f>
        <v>8468.5061016000018</v>
      </c>
    </row>
    <row r="14" spans="1:3" x14ac:dyDescent="0.35">
      <c r="A14" s="11" t="s">
        <v>123</v>
      </c>
      <c r="B14" s="32">
        <f>Inputs!$B$17</f>
        <v>1489</v>
      </c>
    </row>
    <row r="15" spans="1:3" x14ac:dyDescent="0.35">
      <c r="A15" s="11" t="s">
        <v>124</v>
      </c>
      <c r="B15" s="35">
        <f>B13/(B13+B14)</f>
        <v>0.85046456564452988</v>
      </c>
    </row>
    <row r="16" spans="1:3" x14ac:dyDescent="0.35">
      <c r="A16" s="11" t="s">
        <v>125</v>
      </c>
      <c r="B16" s="35">
        <f>B14/(B13+B14)</f>
        <v>0.14953543435547009</v>
      </c>
    </row>
    <row r="17" spans="1:2" x14ac:dyDescent="0.35">
      <c r="A17" s="3" t="s">
        <v>10</v>
      </c>
      <c r="B17" s="33">
        <f>B15*B9+B16*B12</f>
        <v>8.503592321867337E-2</v>
      </c>
    </row>
    <row r="19" spans="1:2" x14ac:dyDescent="0.35">
      <c r="A19" s="9" t="s">
        <v>126</v>
      </c>
    </row>
    <row r="20" spans="1:2" x14ac:dyDescent="0.35">
      <c r="A20" s="11" t="s">
        <v>127</v>
      </c>
      <c r="B20" s="24">
        <v>0.65301975729629813</v>
      </c>
    </row>
    <row r="21" spans="1:2" x14ac:dyDescent="0.35">
      <c r="A21" s="11" t="s">
        <v>128</v>
      </c>
      <c r="B21" s="24">
        <v>0.74257867092520513</v>
      </c>
    </row>
    <row r="22" spans="1:2" x14ac:dyDescent="0.35">
      <c r="A22" s="11" t="s">
        <v>129</v>
      </c>
      <c r="B22" s="24">
        <v>0.82752770951988741</v>
      </c>
    </row>
    <row r="23" spans="1:2" x14ac:dyDescent="0.35">
      <c r="A23" s="11" t="s">
        <v>130</v>
      </c>
      <c r="B23" s="22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7" width="12" customWidth="1"/>
  </cols>
  <sheetData>
    <row r="1" spans="1:7" ht="18" x14ac:dyDescent="0.4">
      <c r="A1" s="1" t="s">
        <v>131</v>
      </c>
    </row>
    <row r="2" spans="1:7" x14ac:dyDescent="0.35">
      <c r="A2" s="2" t="s">
        <v>132</v>
      </c>
    </row>
    <row r="4" spans="1:7" x14ac:dyDescent="0.35">
      <c r="A4" s="13" t="s">
        <v>133</v>
      </c>
      <c r="B4" s="14" t="s">
        <v>69</v>
      </c>
      <c r="C4" s="14" t="s">
        <v>70</v>
      </c>
      <c r="D4" s="14" t="s">
        <v>71</v>
      </c>
      <c r="E4" s="14" t="s">
        <v>72</v>
      </c>
      <c r="F4" s="14" t="s">
        <v>73</v>
      </c>
      <c r="G4" s="14" t="s">
        <v>74</v>
      </c>
    </row>
    <row r="5" spans="1:7" x14ac:dyDescent="0.35">
      <c r="A5" s="3" t="s">
        <v>103</v>
      </c>
      <c r="B5" s="36">
        <f>Forecast!C19</f>
        <v>545.98112268974648</v>
      </c>
      <c r="C5" s="36">
        <f>Forecast!D19</f>
        <v>609.31955483401794</v>
      </c>
      <c r="D5" s="36">
        <f>Forecast!E19</f>
        <v>647.33606769310984</v>
      </c>
      <c r="E5" s="36">
        <f>Forecast!F19</f>
        <v>680.03070922295797</v>
      </c>
      <c r="F5" s="36">
        <f>Forecast!G19</f>
        <v>706.30597421113009</v>
      </c>
      <c r="G5" s="36">
        <f>Forecast!H19</f>
        <v>725.22525064675472</v>
      </c>
    </row>
    <row r="6" spans="1:7" x14ac:dyDescent="0.35">
      <c r="A6" s="11" t="s">
        <v>134</v>
      </c>
      <c r="B6" s="37">
        <f>IF(Inputs!$B$18=1,(1+Inputs!$B$20)/2,1)-Inputs!$B$19</f>
        <v>0.27173169062286107</v>
      </c>
      <c r="C6" s="37">
        <f>2-Inputs!$B$19-0.5*Inputs!$B$18</f>
        <v>1.2717316906228611</v>
      </c>
      <c r="D6" s="37">
        <f>3-Inputs!$B$19-0.5*Inputs!$B$18</f>
        <v>2.2717316906228611</v>
      </c>
      <c r="E6" s="37">
        <f>4-Inputs!$B$19-0.5*Inputs!$B$18</f>
        <v>3.2717316906228611</v>
      </c>
      <c r="F6" s="37">
        <f>5-Inputs!$B$19-0.5*Inputs!$B$18</f>
        <v>4.2717316906228611</v>
      </c>
      <c r="G6" s="37">
        <f>6-Inputs!$B$19-0.5*Inputs!$B$18</f>
        <v>5.2717316906228611</v>
      </c>
    </row>
    <row r="7" spans="1:7" x14ac:dyDescent="0.35">
      <c r="A7" s="11" t="s">
        <v>135</v>
      </c>
      <c r="B7" s="37">
        <f>1/(1+WACC!$B$17)^B6</f>
        <v>0.97806723448759314</v>
      </c>
      <c r="C7" s="37">
        <f>1/(1+WACC!$B$17)^C6</f>
        <v>0.90141461085107111</v>
      </c>
      <c r="D7" s="37">
        <f>1/(1+WACC!$B$17)^D6</f>
        <v>0.83076937045281951</v>
      </c>
      <c r="E7" s="37">
        <f>1/(1+WACC!$B$17)^E6</f>
        <v>0.76566070548927778</v>
      </c>
      <c r="F7" s="37">
        <f>1/(1+WACC!$B$17)^F6</f>
        <v>0.70565470608383696</v>
      </c>
      <c r="G7" s="37">
        <f>1/(1+WACC!$B$17)^G6</f>
        <v>0.65035146853992454</v>
      </c>
    </row>
    <row r="8" spans="1:7" x14ac:dyDescent="0.35">
      <c r="A8" s="3" t="s">
        <v>136</v>
      </c>
      <c r="B8" s="28">
        <f>B5*(1-Inputs!$B$20)*B7</f>
        <v>269.37892118817456</v>
      </c>
      <c r="C8" s="28">
        <f>C5*C7</f>
        <v>549.2495494046542</v>
      </c>
      <c r="D8" s="28">
        <f>D5*D7</f>
        <v>537.78697742880865</v>
      </c>
      <c r="E8" s="28">
        <f>E5*E7</f>
        <v>520.67279257802386</v>
      </c>
      <c r="F8" s="28">
        <f>F5*F7</f>
        <v>498.40813463721315</v>
      </c>
      <c r="G8" s="28">
        <f>G5*G7</f>
        <v>471.65130678035177</v>
      </c>
    </row>
    <row r="10" spans="1:7" x14ac:dyDescent="0.35">
      <c r="A10" s="3" t="s">
        <v>137</v>
      </c>
      <c r="B10" s="28">
        <f>SUM(B8:G8)</f>
        <v>2847.1476820172261</v>
      </c>
    </row>
    <row r="11" spans="1:7" x14ac:dyDescent="0.35">
      <c r="A11" s="11" t="s">
        <v>11</v>
      </c>
      <c r="B11" s="7">
        <f>Inputs!$B$11</f>
        <v>1.4999999999999999E-2</v>
      </c>
    </row>
    <row r="12" spans="1:7" x14ac:dyDescent="0.35">
      <c r="A12" s="11" t="s">
        <v>10</v>
      </c>
      <c r="B12" s="7">
        <f>WACC!$B$17</f>
        <v>8.503592321867337E-2</v>
      </c>
    </row>
    <row r="13" spans="1:7" x14ac:dyDescent="0.35">
      <c r="A13" s="11" t="s">
        <v>138</v>
      </c>
      <c r="B13" s="29">
        <f>IF(Inputs!$B$21=1,Forecast!$H$14*(1+B11)*(1-B11/Inputs!$B$22),$G$5*(1+B11))</f>
        <v>736.10362940645598</v>
      </c>
    </row>
    <row r="14" spans="1:7" x14ac:dyDescent="0.35">
      <c r="A14" s="3" t="s">
        <v>139</v>
      </c>
      <c r="B14" s="28">
        <f>B13/(B12-B11)</f>
        <v>10510.372328613666</v>
      </c>
    </row>
    <row r="15" spans="1:7" x14ac:dyDescent="0.35">
      <c r="A15" s="3" t="s">
        <v>140</v>
      </c>
      <c r="B15" s="28">
        <f>B14/(1+B12)^(6-Inputs!$B$19)</f>
        <v>6835.4360788152844</v>
      </c>
    </row>
    <row r="16" spans="1:7" x14ac:dyDescent="0.35">
      <c r="A16" s="3" t="s">
        <v>141</v>
      </c>
      <c r="B16" s="28">
        <f>B10+B15</f>
        <v>9682.583760832511</v>
      </c>
    </row>
    <row r="17" spans="1:2" x14ac:dyDescent="0.35">
      <c r="A17" s="11" t="s">
        <v>142</v>
      </c>
      <c r="B17" s="32">
        <f>-Inputs!$B$8</f>
        <v>-1077</v>
      </c>
    </row>
    <row r="18" spans="1:2" x14ac:dyDescent="0.35">
      <c r="A18" s="11" t="s">
        <v>143</v>
      </c>
      <c r="B18" s="32">
        <f>-Inputs!$B$9</f>
        <v>0</v>
      </c>
    </row>
    <row r="19" spans="1:2" x14ac:dyDescent="0.35">
      <c r="A19" s="3" t="s">
        <v>144</v>
      </c>
      <c r="B19" s="28">
        <f>B16+B17+B18</f>
        <v>8605.583760832511</v>
      </c>
    </row>
    <row r="20" spans="1:2" x14ac:dyDescent="0.35">
      <c r="A20" s="11" t="s">
        <v>29</v>
      </c>
      <c r="B20" s="38">
        <f>Inputs!$B$7</f>
        <v>192.68500800000001</v>
      </c>
    </row>
    <row r="21" spans="1:2" x14ac:dyDescent="0.35">
      <c r="A21" s="3" t="s">
        <v>145</v>
      </c>
      <c r="B21" s="39">
        <f>B19/B20/Inputs!$B$6</f>
        <v>44.661408015887311</v>
      </c>
    </row>
    <row r="22" spans="1:2" x14ac:dyDescent="0.35">
      <c r="A22" s="11" t="s">
        <v>146</v>
      </c>
      <c r="B22" s="4">
        <f>Inputs!$B$5</f>
        <v>43.95</v>
      </c>
    </row>
    <row r="23" spans="1:2" x14ac:dyDescent="0.35">
      <c r="A23" s="3" t="s">
        <v>147</v>
      </c>
      <c r="B23" s="40">
        <f>B21/B22-1</f>
        <v>1.6186758040666938E-2</v>
      </c>
    </row>
    <row r="24" spans="1:2" x14ac:dyDescent="0.35">
      <c r="A24" s="11" t="s">
        <v>148</v>
      </c>
      <c r="B24" s="35">
        <f>B15/B16</f>
        <v>0.70595165997588771</v>
      </c>
    </row>
    <row r="25" spans="1:2" x14ac:dyDescent="0.35">
      <c r="A25" s="11" t="s">
        <v>149</v>
      </c>
      <c r="B25" s="30">
        <f>B14/Forecast!H8</f>
        <v>8.4538391558611963</v>
      </c>
    </row>
    <row r="26" spans="1:2" x14ac:dyDescent="0.35">
      <c r="A26" s="11" t="s">
        <v>150</v>
      </c>
      <c r="B26" s="4">
        <f>Inputs!$B$26*B21+(1-Inputs!$B$26)*Inputs!$B$27</f>
        <v>44.661408015887311</v>
      </c>
    </row>
    <row r="27" spans="1:2" x14ac:dyDescent="0.35">
      <c r="A27" s="11" t="s">
        <v>120</v>
      </c>
      <c r="B27" s="7">
        <f>WACC!$B$9</f>
        <v>9.2439000000000007E-2</v>
      </c>
    </row>
    <row r="28" spans="1:2" x14ac:dyDescent="0.35">
      <c r="A28" s="11" t="s">
        <v>57</v>
      </c>
      <c r="B28" s="41">
        <f>IF(Inputs!$B$24&gt;0,Inputs!$B$23,0)</f>
        <v>1.44</v>
      </c>
    </row>
    <row r="29" spans="1:2" x14ac:dyDescent="0.35">
      <c r="A29" s="11" t="s">
        <v>151</v>
      </c>
      <c r="B29" s="41">
        <f>IF(B26&lt;=0,0,B26*(1+B27)^(Inputs!$B$24/12)-B28)</f>
        <v>47.349863911467921</v>
      </c>
    </row>
    <row r="30" spans="1:2" x14ac:dyDescent="0.35">
      <c r="A30" s="3" t="s">
        <v>5</v>
      </c>
      <c r="B30" s="39">
        <f>IF(Inputs!$B$25&gt;0,MROUND(B29,Inputs!$B$25),B29)</f>
        <v>47.5</v>
      </c>
    </row>
    <row r="31" spans="1:2" x14ac:dyDescent="0.35">
      <c r="A31" s="3" t="s">
        <v>6</v>
      </c>
      <c r="B31" s="40">
        <f>B30/B22-1</f>
        <v>8.0773606370875939E-2</v>
      </c>
    </row>
    <row r="32" spans="1:2" x14ac:dyDescent="0.35">
      <c r="A32" s="3" t="s">
        <v>152</v>
      </c>
      <c r="B32" s="40">
        <f>(B30+B28)/B22-1</f>
        <v>0.11353811149032977</v>
      </c>
    </row>
    <row r="33" spans="1:8" x14ac:dyDescent="0.35">
      <c r="A33" s="3" t="s">
        <v>8</v>
      </c>
      <c r="B33" s="3" t="str">
        <f>IF(B26&lt;=0,"NOT RATED",IF(B32&gt;=Inputs!$B$28,"BUY",IF(B32&lt;=Inputs!$B$29,"SELL","HOLD")))</f>
        <v>HOLD</v>
      </c>
    </row>
    <row r="36" spans="1:8" x14ac:dyDescent="0.35">
      <c r="A36" s="9" t="s">
        <v>153</v>
      </c>
    </row>
    <row r="37" spans="1:8" x14ac:dyDescent="0.35">
      <c r="A37" s="14" t="s">
        <v>154</v>
      </c>
      <c r="B37" s="42">
        <f>WACC!$B$17+(-3)*0.005</f>
        <v>7.0035923218673371E-2</v>
      </c>
      <c r="C37" s="42">
        <f>WACC!$B$17+(-2)*0.005</f>
        <v>7.5035923218673375E-2</v>
      </c>
      <c r="D37" s="42">
        <f>WACC!$B$17+(-1)*0.005</f>
        <v>8.0035923218673366E-2</v>
      </c>
      <c r="E37" s="42">
        <f>WACC!$B$17+(0)*0.005</f>
        <v>8.503592321867337E-2</v>
      </c>
      <c r="F37" s="42">
        <f>WACC!$B$17+(1)*0.005</f>
        <v>9.0035923218673375E-2</v>
      </c>
      <c r="G37" s="42">
        <f>WACC!$B$17+(2)*0.005</f>
        <v>9.5035923218673365E-2</v>
      </c>
      <c r="H37" s="42">
        <f>WACC!$B$17+(3)*0.005</f>
        <v>0.10003592321867337</v>
      </c>
    </row>
    <row r="38" spans="1:8" x14ac:dyDescent="0.35">
      <c r="A38" s="42">
        <f>Inputs!$B$11+(-3)*0.0025</f>
        <v>7.4999999999999997E-3</v>
      </c>
      <c r="B38" s="43">
        <f>IF(B$37&lt;=$A38,"n.m.",(SUMPRODUCT($B$5:$G$5,(1+B$37)^(-DCF!$B$6:$G$6))-$B$5*Inputs!$B$20*(1+B$37)^(-DCF!$B$6)+IF(Inputs!$B$21=1,Forecast!$H$14*(1+$A38)*(1-$A38/Inputs!$B$22),$G$5*(1+$A38))/(B$37-$A38)/(1+B$37)^(6-Inputs!$B$19)-Inputs!$B$8-Inputs!$B$9)/Inputs!$B$7/Inputs!$B$6)</f>
        <v>52.241943114764908</v>
      </c>
      <c r="C38" s="43">
        <f>IF(C$37&lt;=$A38,"n.m.",(SUMPRODUCT($B$5:$G$5,(1+C$37)^(-DCF!$B$6:$G$6))-$B$5*Inputs!$B$20*(1+C$37)^(-DCF!$B$6)+IF(Inputs!$B$21=1,Forecast!$H$14*(1+$A38)*(1-$A38/Inputs!$B$22),$G$5*(1+$A38))/(C$37-$A38)/(1+C$37)^(6-Inputs!$B$19)-Inputs!$B$8-Inputs!$B$9)/Inputs!$B$7/Inputs!$B$6)</f>
        <v>47.935879143688389</v>
      </c>
      <c r="D38" s="43">
        <f>IF(D$37&lt;=$A38,"n.m.",(SUMPRODUCT($B$5:$G$5,(1+D$37)^(-DCF!$B$6:$G$6))-$B$5*Inputs!$B$20*(1+D$37)^(-DCF!$B$6)+IF(Inputs!$B$21=1,Forecast!$H$14*(1+$A38)*(1-$A38/Inputs!$B$22),$G$5*(1+$A38))/(D$37-$A38)/(1+D$37)^(6-Inputs!$B$19)-Inputs!$B$8-Inputs!$B$9)/Inputs!$B$7/Inputs!$B$6)</f>
        <v>44.224664203162916</v>
      </c>
      <c r="E38" s="43">
        <f>IF(E$37&lt;=$A38,"n.m.",(SUMPRODUCT($B$5:$G$5,(1+E$37)^(-DCF!$B$6:$G$6))-$B$5*Inputs!$B$20*(1+E$37)^(-DCF!$B$6)+IF(Inputs!$B$21=1,Forecast!$H$14*(1+$A38)*(1-$A38/Inputs!$B$22),$G$5*(1+$A38))/(E$37-$A38)/(1+E$37)^(6-Inputs!$B$19)-Inputs!$B$8-Inputs!$B$9)/Inputs!$B$7/Inputs!$B$6)</f>
        <v>40.993193908634019</v>
      </c>
      <c r="F38" s="43">
        <f>IF(F$37&lt;=$A38,"n.m.",(SUMPRODUCT($B$5:$G$5,(1+F$37)^(-DCF!$B$6:$G$6))-$B$5*Inputs!$B$20*(1+F$37)^(-DCF!$B$6)+IF(Inputs!$B$21=1,Forecast!$H$14*(1+$A38)*(1-$A38/Inputs!$B$22),$G$5*(1+$A38))/(F$37-$A38)/(1+F$37)^(6-Inputs!$B$19)-Inputs!$B$8-Inputs!$B$9)/Inputs!$B$7/Inputs!$B$6)</f>
        <v>38.15425650199419</v>
      </c>
      <c r="G38" s="43">
        <f>IF(G$37&lt;=$A38,"n.m.",(SUMPRODUCT($B$5:$G$5,(1+G$37)^(-DCF!$B$6:$G$6))-$B$5*Inputs!$B$20*(1+G$37)^(-DCF!$B$6)+IF(Inputs!$B$21=1,Forecast!$H$14*(1+$A38)*(1-$A38/Inputs!$B$22),$G$5*(1+$A38))/(G$37-$A38)/(1+G$37)^(6-Inputs!$B$19)-Inputs!$B$8-Inputs!$B$9)/Inputs!$B$7/Inputs!$B$6)</f>
        <v>35.640566778865718</v>
      </c>
      <c r="H38" s="43">
        <f>IF(H$37&lt;=$A38,"n.m.",(SUMPRODUCT($B$5:$G$5,(1+H$37)^(-DCF!$B$6:$G$6))-$B$5*Inputs!$B$20*(1+H$37)^(-DCF!$B$6)+IF(Inputs!$B$21=1,Forecast!$H$14*(1+$A38)*(1-$A38/Inputs!$B$22),$G$5*(1+$A38))/(H$37-$A38)/(1+H$37)^(6-Inputs!$B$19)-Inputs!$B$8-Inputs!$B$9)/Inputs!$B$7/Inputs!$B$6)</f>
        <v>33.399382604837903</v>
      </c>
    </row>
    <row r="39" spans="1:8" x14ac:dyDescent="0.35">
      <c r="A39" s="42">
        <f>Inputs!$B$11+(-2)*0.0025</f>
        <v>9.9999999999999985E-3</v>
      </c>
      <c r="B39" s="43">
        <f>IF(B$37&lt;=$A39,"n.m.",(SUMPRODUCT($B$5:$G$5,(1+B$37)^(-DCF!$B$6:$G$6))-$B$5*Inputs!$B$20*(1+B$37)^(-DCF!$B$6)+IF(Inputs!$B$21=1,Forecast!$H$14*(1+$A39)*(1-$A39/Inputs!$B$22),$G$5*(1+$A39))/(B$37-$A39)/(1+B$37)^(6-Inputs!$B$19)-Inputs!$B$8-Inputs!$B$9)/Inputs!$B$7/Inputs!$B$6)</f>
        <v>54.118848338970928</v>
      </c>
      <c r="C39" s="43">
        <f>IF(C$37&lt;=$A39,"n.m.",(SUMPRODUCT($B$5:$G$5,(1+C$37)^(-DCF!$B$6:$G$6))-$B$5*Inputs!$B$20*(1+C$37)^(-DCF!$B$6)+IF(Inputs!$B$21=1,Forecast!$H$14*(1+$A39)*(1-$A39/Inputs!$B$22),$G$5*(1+$A39))/(C$37-$A39)/(1+C$37)^(6-Inputs!$B$19)-Inputs!$B$8-Inputs!$B$9)/Inputs!$B$7/Inputs!$B$6)</f>
        <v>49.508580725351507</v>
      </c>
      <c r="D39" s="43">
        <f>IF(D$37&lt;=$A39,"n.m.",(SUMPRODUCT($B$5:$G$5,(1+D$37)^(-DCF!$B$6:$G$6))-$B$5*Inputs!$B$20*(1+D$37)^(-DCF!$B$6)+IF(Inputs!$B$21=1,Forecast!$H$14*(1+$A39)*(1-$A39/Inputs!$B$22),$G$5*(1+$A39))/(D$37-$A39)/(1+D$37)^(6-Inputs!$B$19)-Inputs!$B$8-Inputs!$B$9)/Inputs!$B$7/Inputs!$B$6)</f>
        <v>45.557731200987782</v>
      </c>
      <c r="E39" s="43">
        <f>IF(E$37&lt;=$A39,"n.m.",(SUMPRODUCT($B$5:$G$5,(1+E$37)^(-DCF!$B$6:$G$6))-$B$5*Inputs!$B$20*(1+E$37)^(-DCF!$B$6)+IF(Inputs!$B$21=1,Forecast!$H$14*(1+$A39)*(1-$A39/Inputs!$B$22),$G$5*(1+$A39))/(E$37-$A39)/(1+E$37)^(6-Inputs!$B$19)-Inputs!$B$8-Inputs!$B$9)/Inputs!$B$7/Inputs!$B$6)</f>
        <v>42.134455100807955</v>
      </c>
      <c r="F39" s="43">
        <f>IF(F$37&lt;=$A39,"n.m.",(SUMPRODUCT($B$5:$G$5,(1+F$37)^(-DCF!$B$6:$G$6))-$B$5*Inputs!$B$20*(1+F$37)^(-DCF!$B$6)+IF(Inputs!$B$21=1,Forecast!$H$14*(1+$A39)*(1-$A39/Inputs!$B$22),$G$5*(1+$A39))/(F$37-$A39)/(1+F$37)^(6-Inputs!$B$19)-Inputs!$B$8-Inputs!$B$9)/Inputs!$B$7/Inputs!$B$6)</f>
        <v>39.139854765679118</v>
      </c>
      <c r="G39" s="43">
        <f>IF(G$37&lt;=$A39,"n.m.",(SUMPRODUCT($B$5:$G$5,(1+G$37)^(-DCF!$B$6:$G$6))-$B$5*Inputs!$B$20*(1+G$37)^(-DCF!$B$6)+IF(Inputs!$B$21=1,Forecast!$H$14*(1+$A39)*(1-$A39/Inputs!$B$22),$G$5*(1+$A39))/(G$37-$A39)/(1+G$37)^(6-Inputs!$B$19)-Inputs!$B$8-Inputs!$B$9)/Inputs!$B$7/Inputs!$B$6)</f>
        <v>36.498293320369271</v>
      </c>
      <c r="H39" s="43">
        <f>IF(H$37&lt;=$A39,"n.m.",(SUMPRODUCT($B$5:$G$5,(1+H$37)^(-DCF!$B$6:$G$6))-$B$5*Inputs!$B$20*(1+H$37)^(-DCF!$B$6)+IF(Inputs!$B$21=1,Forecast!$H$14*(1+$A39)*(1-$A39/Inputs!$B$22),$G$5*(1+$A39))/(H$37-$A39)/(1+H$37)^(6-Inputs!$B$19)-Inputs!$B$8-Inputs!$B$9)/Inputs!$B$7/Inputs!$B$6)</f>
        <v>34.15093590467621</v>
      </c>
    </row>
    <row r="40" spans="1:8" x14ac:dyDescent="0.35">
      <c r="A40" s="42">
        <f>Inputs!$B$11+(-1)*0.0025</f>
        <v>1.2499999999999999E-2</v>
      </c>
      <c r="B40" s="43">
        <f>IF(B$37&lt;=$A40,"n.m.",(SUMPRODUCT($B$5:$G$5,(1+B$37)^(-DCF!$B$6:$G$6))-$B$5*Inputs!$B$20*(1+B$37)^(-DCF!$B$6)+IF(Inputs!$B$21=1,Forecast!$H$14*(1+$A40)*(1-$A40/Inputs!$B$22),$G$5*(1+$A40))/(B$37-$A40)/(1+B$37)^(6-Inputs!$B$19)-Inputs!$B$8-Inputs!$B$9)/Inputs!$B$7/Inputs!$B$6)</f>
        <v>56.158860811588745</v>
      </c>
      <c r="C40" s="43">
        <f>IF(C$37&lt;=$A40,"n.m.",(SUMPRODUCT($B$5:$G$5,(1+C$37)^(-DCF!$B$6:$G$6))-$B$5*Inputs!$B$20*(1+C$37)^(-DCF!$B$6)+IF(Inputs!$B$21=1,Forecast!$H$14*(1+$A40)*(1-$A40/Inputs!$B$22),$G$5*(1+$A40))/(C$37-$A40)/(1+C$37)^(6-Inputs!$B$19)-Inputs!$B$8-Inputs!$B$9)/Inputs!$B$7/Inputs!$B$6)</f>
        <v>51.207026159565089</v>
      </c>
      <c r="D40" s="43">
        <f>IF(D$37&lt;=$A40,"n.m.",(SUMPRODUCT($B$5:$G$5,(1+D$37)^(-DCF!$B$6:$G$6))-$B$5*Inputs!$B$20*(1+D$37)^(-DCF!$B$6)+IF(Inputs!$B$21=1,Forecast!$H$14*(1+$A40)*(1-$A40/Inputs!$B$22),$G$5*(1+$A40))/(D$37-$A40)/(1+D$37)^(6-Inputs!$B$19)-Inputs!$B$8-Inputs!$B$9)/Inputs!$B$7/Inputs!$B$6)</f>
        <v>46.989491378256446</v>
      </c>
      <c r="E40" s="43">
        <f>IF(E$37&lt;=$A40,"n.m.",(SUMPRODUCT($B$5:$G$5,(1+E$37)^(-DCF!$B$6:$G$6))-$B$5*Inputs!$B$20*(1+E$37)^(-DCF!$B$6)+IF(Inputs!$B$21=1,Forecast!$H$14*(1+$A40)*(1-$A40/Inputs!$B$22),$G$5*(1+$A40))/(E$37-$A40)/(1+E$37)^(6-Inputs!$B$19)-Inputs!$B$8-Inputs!$B$9)/Inputs!$B$7/Inputs!$B$6)</f>
        <v>43.354384981648984</v>
      </c>
      <c r="F40" s="43">
        <f>IF(F$37&lt;=$A40,"n.m.",(SUMPRODUCT($B$5:$G$5,(1+F$37)^(-DCF!$B$6:$G$6))-$B$5*Inputs!$B$20*(1+F$37)^(-DCF!$B$6)+IF(Inputs!$B$21=1,Forecast!$H$14*(1+$A40)*(1-$A40/Inputs!$B$22),$G$5*(1+$A40))/(F$37-$A40)/(1+F$37)^(6-Inputs!$B$19)-Inputs!$B$8-Inputs!$B$9)/Inputs!$B$7/Inputs!$B$6)</f>
        <v>40.189010553590961</v>
      </c>
      <c r="G40" s="43">
        <f>IF(G$37&lt;=$A40,"n.m.",(SUMPRODUCT($B$5:$G$5,(1+G$37)^(-DCF!$B$6:$G$6))-$B$5*Inputs!$B$20*(1+G$37)^(-DCF!$B$6)+IF(Inputs!$B$21=1,Forecast!$H$14*(1+$A40)*(1-$A40/Inputs!$B$22),$G$5*(1+$A40))/(G$37-$A40)/(1+G$37)^(6-Inputs!$B$19)-Inputs!$B$8-Inputs!$B$9)/Inputs!$B$7/Inputs!$B$6)</f>
        <v>37.407980663185448</v>
      </c>
      <c r="H40" s="43">
        <f>IF(H$37&lt;=$A40,"n.m.",(SUMPRODUCT($B$5:$G$5,(1+H$37)^(-DCF!$B$6:$G$6))-$B$5*Inputs!$B$20*(1+H$37)^(-DCF!$B$6)+IF(Inputs!$B$21=1,Forecast!$H$14*(1+$A40)*(1-$A40/Inputs!$B$22),$G$5*(1+$A40))/(H$37-$A40)/(1+H$37)^(6-Inputs!$B$19)-Inputs!$B$8-Inputs!$B$9)/Inputs!$B$7/Inputs!$B$6)</f>
        <v>34.945417483111676</v>
      </c>
    </row>
    <row r="41" spans="1:8" x14ac:dyDescent="0.35">
      <c r="A41" s="42">
        <f>Inputs!$B$11+(0)*0.0025</f>
        <v>1.4999999999999999E-2</v>
      </c>
      <c r="B41" s="43">
        <f>IF(B$37&lt;=$A41,"n.m.",(SUMPRODUCT($B$5:$G$5,(1+B$37)^(-DCF!$B$6:$G$6))-$B$5*Inputs!$B$20*(1+B$37)^(-DCF!$B$6)+IF(Inputs!$B$21=1,Forecast!$H$14*(1+$A41)*(1-$A41/Inputs!$B$22),$G$5*(1+$A41))/(B$37-$A41)/(1+B$37)^(6-Inputs!$B$19)-Inputs!$B$8-Inputs!$B$9)/Inputs!$B$7/Inputs!$B$6)</f>
        <v>58.384207912328648</v>
      </c>
      <c r="C41" s="43">
        <f>IF(C$37&lt;=$A41,"n.m.",(SUMPRODUCT($B$5:$G$5,(1+C$37)^(-DCF!$B$6:$G$6))-$B$5*Inputs!$B$20*(1+C$37)^(-DCF!$B$6)+IF(Inputs!$B$21=1,Forecast!$H$14*(1+$A41)*(1-$A41/Inputs!$B$22),$G$5*(1+$A41))/(C$37-$A41)/(1+C$37)^(6-Inputs!$B$19)-Inputs!$B$8-Inputs!$B$9)/Inputs!$B$7/Inputs!$B$6)</f>
        <v>53.046924022854114</v>
      </c>
      <c r="D41" s="43">
        <f>IF(D$37&lt;=$A41,"n.m.",(SUMPRODUCT($B$5:$G$5,(1+D$37)^(-DCF!$B$6:$G$6))-$B$5*Inputs!$B$20*(1+D$37)^(-DCF!$B$6)+IF(Inputs!$B$21=1,Forecast!$H$14*(1+$A41)*(1-$A41/Inputs!$B$22),$G$5*(1+$A41))/(D$37-$A41)/(1+D$37)^(6-Inputs!$B$19)-Inputs!$B$8-Inputs!$B$9)/Inputs!$B$7/Inputs!$B$6)</f>
        <v>48.531326119428428</v>
      </c>
      <c r="E41" s="44">
        <f>IF(E$37&lt;=$A41,"n.m.",(SUMPRODUCT($B$5:$G$5,(1+E$37)^(-DCF!$B$6:$G$6))-$B$5*Inputs!$B$20*(1+E$37)^(-DCF!$B$6)+IF(Inputs!$B$21=1,Forecast!$H$14*(1+$A41)*(1-$A41/Inputs!$B$22),$G$5*(1+$A41))/(E$37-$A41)/(1+E$37)^(6-Inputs!$B$19)-Inputs!$B$8-Inputs!$B$9)/Inputs!$B$7/Inputs!$B$6)</f>
        <v>44.661408015887311</v>
      </c>
      <c r="F41" s="43">
        <f>IF(F$37&lt;=$A41,"n.m.",(SUMPRODUCT($B$5:$G$5,(1+F$37)^(-DCF!$B$6:$G$6))-$B$5*Inputs!$B$20*(1+F$37)^(-DCF!$B$6)+IF(Inputs!$B$21=1,Forecast!$H$14*(1+$A41)*(1-$A41/Inputs!$B$22),$G$5*(1+$A41))/(F$37-$A41)/(1+F$37)^(6-Inputs!$B$19)-Inputs!$B$8-Inputs!$B$9)/Inputs!$B$7/Inputs!$B$6)</f>
        <v>41.308076575355337</v>
      </c>
      <c r="G41" s="43">
        <f>IF(G$37&lt;=$A41,"n.m.",(SUMPRODUCT($B$5:$G$5,(1+G$37)^(-DCF!$B$6:$G$6))-$B$5*Inputs!$B$20*(1+G$37)^(-DCF!$B$6)+IF(Inputs!$B$21=1,Forecast!$H$14*(1+$A41)*(1-$A41/Inputs!$B$22),$G$5*(1+$A41))/(G$37-$A41)/(1+G$37)^(6-Inputs!$B$19)-Inputs!$B$8-Inputs!$B$9)/Inputs!$B$7/Inputs!$B$6)</f>
        <v>38.374497945998094</v>
      </c>
      <c r="H41" s="43">
        <f>IF(H$37&lt;=$A41,"n.m.",(SUMPRODUCT($B$5:$G$5,(1+H$37)^(-DCF!$B$6:$G$6))-$B$5*Inputs!$B$20*(1+H$37)^(-DCF!$B$6)+IF(Inputs!$B$21=1,Forecast!$H$14*(1+$A41)*(1-$A41/Inputs!$B$22),$G$5*(1+$A41))/(H$37-$A41)/(1+H$37)^(6-Inputs!$B$19)-Inputs!$B$8-Inputs!$B$9)/Inputs!$B$7/Inputs!$B$6)</f>
        <v>35.786613529289951</v>
      </c>
    </row>
    <row r="42" spans="1:8" x14ac:dyDescent="0.35">
      <c r="A42" s="42">
        <f>Inputs!$B$11+(1)*0.0025</f>
        <v>1.7499999999999998E-2</v>
      </c>
      <c r="B42" s="43">
        <f>IF(B$37&lt;=$A42,"n.m.",(SUMPRODUCT($B$5:$G$5,(1+B$37)^(-DCF!$B$6:$G$6))-$B$5*Inputs!$B$20*(1+B$37)^(-DCF!$B$6)+IF(Inputs!$B$21=1,Forecast!$H$14*(1+$A42)*(1-$A42/Inputs!$B$22),$G$5*(1+$A42))/(B$37-$A42)/(1+B$37)^(6-Inputs!$B$19)-Inputs!$B$8-Inputs!$B$9)/Inputs!$B$7/Inputs!$B$6)</f>
        <v>60.821347912517304</v>
      </c>
      <c r="C42" s="43">
        <f>IF(C$37&lt;=$A42,"n.m.",(SUMPRODUCT($B$5:$G$5,(1+C$37)^(-DCF!$B$6:$G$6))-$B$5*Inputs!$B$20*(1+C$37)^(-DCF!$B$6)+IF(Inputs!$B$21=1,Forecast!$H$14*(1+$A42)*(1-$A42/Inputs!$B$22),$G$5*(1+$A42))/(C$37-$A42)/(1+C$37)^(6-Inputs!$B$19)-Inputs!$B$8-Inputs!$B$9)/Inputs!$B$7/Inputs!$B$6)</f>
        <v>55.04671311238593</v>
      </c>
      <c r="D42" s="43">
        <f>IF(D$37&lt;=$A42,"n.m.",(SUMPRODUCT($B$5:$G$5,(1+D$37)^(-DCF!$B$6:$G$6))-$B$5*Inputs!$B$20*(1+D$37)^(-DCF!$B$6)+IF(Inputs!$B$21=1,Forecast!$H$14*(1+$A42)*(1-$A42/Inputs!$B$22),$G$5*(1+$A42))/(D$37-$A42)/(1+D$37)^(6-Inputs!$B$19)-Inputs!$B$8-Inputs!$B$9)/Inputs!$B$7/Inputs!$B$6)</f>
        <v>50.196436784406664</v>
      </c>
      <c r="E42" s="43">
        <f>IF(E$37&lt;=$A42,"n.m.",(SUMPRODUCT($B$5:$G$5,(1+E$37)^(-DCF!$B$6:$G$6))-$B$5*Inputs!$B$20*(1+E$37)^(-DCF!$B$6)+IF(Inputs!$B$21=1,Forecast!$H$14*(1+$A42)*(1-$A42/Inputs!$B$22),$G$5*(1+$A42))/(E$37-$A42)/(1+E$37)^(6-Inputs!$B$19)-Inputs!$B$8-Inputs!$B$9)/Inputs!$B$7/Inputs!$B$6)</f>
        <v>46.065196073238326</v>
      </c>
      <c r="F42" s="43">
        <f>IF(F$37&lt;=$A42,"n.m.",(SUMPRODUCT($B$5:$G$5,(1+F$37)^(-DCF!$B$6:$G$6))-$B$5*Inputs!$B$20*(1+F$37)^(-DCF!$B$6)+IF(Inputs!$B$21=1,Forecast!$H$14*(1+$A42)*(1-$A42/Inputs!$B$22),$G$5*(1+$A42))/(F$37-$A42)/(1+F$37)^(6-Inputs!$B$19)-Inputs!$B$8-Inputs!$B$9)/Inputs!$B$7/Inputs!$B$6)</f>
        <v>42.504281342454952</v>
      </c>
      <c r="G42" s="43">
        <f>IF(G$37&lt;=$A42,"n.m.",(SUMPRODUCT($B$5:$G$5,(1+G$37)^(-DCF!$B$6:$G$6))-$B$5*Inputs!$B$20*(1+G$37)^(-DCF!$B$6)+IF(Inputs!$B$21=1,Forecast!$H$14*(1+$A42)*(1-$A42/Inputs!$B$22),$G$5*(1+$A42))/(G$37-$A42)/(1+G$37)^(6-Inputs!$B$19)-Inputs!$B$8-Inputs!$B$9)/Inputs!$B$7/Inputs!$B$6)</f>
        <v>39.403342292363398</v>
      </c>
      <c r="H42" s="43">
        <f>IF(H$37&lt;=$A42,"n.m.",(SUMPRODUCT($B$5:$G$5,(1+H$37)^(-DCF!$B$6:$G$6))-$B$5*Inputs!$B$20*(1+H$37)^(-DCF!$B$6)+IF(Inputs!$B$21=1,Forecast!$H$14*(1+$A42)*(1-$A42/Inputs!$B$22),$G$5*(1+$A42))/(H$37-$A42)/(1+H$37)^(6-Inputs!$B$19)-Inputs!$B$8-Inputs!$B$9)/Inputs!$B$7/Inputs!$B$6)</f>
        <v>36.678768964627139</v>
      </c>
    </row>
    <row r="43" spans="1:8" x14ac:dyDescent="0.35">
      <c r="A43" s="42">
        <f>Inputs!$B$11+(2)*0.0025</f>
        <v>0.02</v>
      </c>
      <c r="B43" s="43">
        <f>IF(B$37&lt;=$A43,"n.m.",(SUMPRODUCT($B$5:$G$5,(1+B$37)^(-DCF!$B$6:$G$6))-$B$5*Inputs!$B$20*(1+B$37)^(-DCF!$B$6)+IF(Inputs!$B$21=1,Forecast!$H$14*(1+$A43)*(1-$A43/Inputs!$B$22),$G$5*(1+$A43))/(B$37-$A43)/(1+B$37)^(6-Inputs!$B$19)-Inputs!$B$8-Inputs!$B$9)/Inputs!$B$7/Inputs!$B$6)</f>
        <v>63.502026938611166</v>
      </c>
      <c r="C43" s="43">
        <f>IF(C$37&lt;=$A43,"n.m.",(SUMPRODUCT($B$5:$G$5,(1+C$37)^(-DCF!$B$6:$G$6))-$B$5*Inputs!$B$20*(1+C$37)^(-DCF!$B$6)+IF(Inputs!$B$21=1,Forecast!$H$14*(1+$A43)*(1-$A43/Inputs!$B$22),$G$5*(1+$A43))/(C$37-$A43)/(1+C$37)^(6-Inputs!$B$19)-Inputs!$B$8-Inputs!$B$9)/Inputs!$B$7/Inputs!$B$6)</f>
        <v>57.228182545643989</v>
      </c>
      <c r="D43" s="43">
        <f>IF(D$37&lt;=$A43,"n.m.",(SUMPRODUCT($B$5:$G$5,(1+D$37)^(-DCF!$B$6:$G$6))-$B$5*Inputs!$B$20*(1+D$37)^(-DCF!$B$6)+IF(Inputs!$B$21=1,Forecast!$H$14*(1+$A43)*(1-$A43/Inputs!$B$22),$G$5*(1+$A43))/(D$37-$A43)/(1+D$37)^(6-Inputs!$B$19)-Inputs!$B$8-Inputs!$B$9)/Inputs!$B$7/Inputs!$B$6)</f>
        <v>52.000223643212486</v>
      </c>
      <c r="E43" s="43">
        <f>IF(E$37&lt;=$A43,"n.m.",(SUMPRODUCT($B$5:$G$5,(1+E$37)^(-DCF!$B$6:$G$6))-$B$5*Inputs!$B$20*(1+E$37)^(-DCF!$B$6)+IF(Inputs!$B$21=1,Forecast!$H$14*(1+$A43)*(1-$A43/Inputs!$B$22),$G$5*(1+$A43))/(E$37-$A43)/(1+E$37)^(6-Inputs!$B$19)-Inputs!$B$8-Inputs!$B$9)/Inputs!$B$7/Inputs!$B$6)</f>
        <v>47.576908181473577</v>
      </c>
      <c r="F43" s="43">
        <f>IF(F$37&lt;=$A43,"n.m.",(SUMPRODUCT($B$5:$G$5,(1+F$37)^(-DCF!$B$6:$G$6))-$B$5*Inputs!$B$20*(1+F$37)^(-DCF!$B$6)+IF(Inputs!$B$21=1,Forecast!$H$14*(1+$A43)*(1-$A43/Inputs!$B$22),$G$5*(1+$A43))/(F$37-$A43)/(1+F$37)^(6-Inputs!$B$19)-Inputs!$B$8-Inputs!$B$9)/Inputs!$B$7/Inputs!$B$6)</f>
        <v>43.785885481200239</v>
      </c>
      <c r="G43" s="43">
        <f>IF(G$37&lt;=$A43,"n.m.",(SUMPRODUCT($B$5:$G$5,(1+G$37)^(-DCF!$B$6:$G$6))-$B$5*Inputs!$B$20*(1+G$37)^(-DCF!$B$6)+IF(Inputs!$B$21=1,Forecast!$H$14*(1+$A43)*(1-$A43/Inputs!$B$22),$G$5*(1+$A43))/(G$37-$A43)/(1+G$37)^(6-Inputs!$B$19)-Inputs!$B$8-Inputs!$B$9)/Inputs!$B$7/Inputs!$B$6)</f>
        <v>40.500743424747505</v>
      </c>
      <c r="H43" s="43">
        <f>IF(H$37&lt;=$A43,"n.m.",(SUMPRODUCT($B$5:$G$5,(1+H$37)^(-DCF!$B$6:$G$6))-$B$5*Inputs!$B$20*(1+H$37)^(-DCF!$B$6)+IF(Inputs!$B$21=1,Forecast!$H$14*(1+$A43)*(1-$A43/Inputs!$B$22),$G$5*(1+$A43))/(H$37-$A43)/(1+H$37)^(6-Inputs!$B$19)-Inputs!$B$8-Inputs!$B$9)/Inputs!$B$7/Inputs!$B$6)</f>
        <v>37.62665908755578</v>
      </c>
    </row>
    <row r="44" spans="1:8" x14ac:dyDescent="0.35">
      <c r="A44" s="42">
        <f>Inputs!$B$11+(3)*0.0025</f>
        <v>2.2499999999999999E-2</v>
      </c>
      <c r="B44" s="43">
        <f>IF(B$37&lt;=$A44,"n.m.",(SUMPRODUCT($B$5:$G$5,(1+B$37)^(-DCF!$B$6:$G$6))-$B$5*Inputs!$B$20*(1+B$37)^(-DCF!$B$6)+IF(Inputs!$B$21=1,Forecast!$H$14*(1+$A44)*(1-$A44/Inputs!$B$22),$G$5*(1+$A44))/(B$37-$A44)/(1+B$37)^(6-Inputs!$B$19)-Inputs!$B$8-Inputs!$B$9)/Inputs!$B$7/Inputs!$B$6)</f>
        <v>66.464669461423313</v>
      </c>
      <c r="C44" s="43">
        <f>IF(C$37&lt;=$A44,"n.m.",(SUMPRODUCT($B$5:$G$5,(1+C$37)^(-DCF!$B$6:$G$6))-$B$5*Inputs!$B$20*(1+C$37)^(-DCF!$B$6)+IF(Inputs!$B$21=1,Forecast!$H$14*(1+$A44)*(1-$A44/Inputs!$B$22),$G$5*(1+$A44))/(C$37-$A44)/(1+C$37)^(6-Inputs!$B$19)-Inputs!$B$8-Inputs!$B$9)/Inputs!$B$7/Inputs!$B$6)</f>
        <v>59.617268910289923</v>
      </c>
      <c r="D44" s="43">
        <f>IF(D$37&lt;=$A44,"n.m.",(SUMPRODUCT($B$5:$G$5,(1+D$37)^(-DCF!$B$6:$G$6))-$B$5*Inputs!$B$20*(1+D$37)^(-DCF!$B$6)+IF(Inputs!$B$21=1,Forecast!$H$14*(1+$A44)*(1-$A44/Inputs!$B$22),$G$5*(1+$A44))/(D$37-$A44)/(1+D$37)^(6-Inputs!$B$19)-Inputs!$B$8-Inputs!$B$9)/Inputs!$B$7/Inputs!$B$6)</f>
        <v>53.960763601464585</v>
      </c>
      <c r="E44" s="43">
        <f>IF(E$37&lt;=$A44,"n.m.",(SUMPRODUCT($B$5:$G$5,(1+E$37)^(-DCF!$B$6:$G$6))-$B$5*Inputs!$B$20*(1+E$37)^(-DCF!$B$6)+IF(Inputs!$B$21=1,Forecast!$H$14*(1+$A44)*(1-$A44/Inputs!$B$22),$G$5*(1+$A44))/(E$37-$A44)/(1+E$37)^(6-Inputs!$B$19)-Inputs!$B$8-Inputs!$B$9)/Inputs!$B$7/Inputs!$B$6)</f>
        <v>49.209487787174972</v>
      </c>
      <c r="F44" s="43">
        <f>IF(F$37&lt;=$A44,"n.m.",(SUMPRODUCT($B$5:$G$5,(1+F$37)^(-DCF!$B$6:$G$6))-$B$5*Inputs!$B$20*(1+F$37)^(-DCF!$B$6)+IF(Inputs!$B$21=1,Forecast!$H$14*(1+$A44)*(1-$A44/Inputs!$B$22),$G$5*(1+$A44))/(F$37-$A44)/(1+F$37)^(6-Inputs!$B$19)-Inputs!$B$8-Inputs!$B$9)/Inputs!$B$7/Inputs!$B$6)</f>
        <v>45.162372763439059</v>
      </c>
      <c r="G44" s="43">
        <f>IF(G$37&lt;=$A44,"n.m.",(SUMPRODUCT($B$5:$G$5,(1+G$37)^(-DCF!$B$6:$G$6))-$B$5*Inputs!$B$20*(1+G$37)^(-DCF!$B$6)+IF(Inputs!$B$21=1,Forecast!$H$14*(1+$A44)*(1-$A44/Inputs!$B$22),$G$5*(1+$A44))/(G$37-$A44)/(1+G$37)^(6-Inputs!$B$19)-Inputs!$B$8-Inputs!$B$9)/Inputs!$B$7/Inputs!$B$6)</f>
        <v>41.67378991212874</v>
      </c>
      <c r="H44" s="43">
        <f>IF(H$37&lt;=$A44,"n.m.",(SUMPRODUCT($B$5:$G$5,(1+H$37)^(-DCF!$B$6:$G$6))-$B$5*Inputs!$B$20*(1+H$37)^(-DCF!$B$6)+IF(Inputs!$B$21=1,Forecast!$H$14*(1+$A44)*(1-$A44/Inputs!$B$22),$G$5*(1+$A44))/(H$37-$A44)/(1+H$37)^(6-Inputs!$B$19)-Inputs!$B$8-Inputs!$B$9)/Inputs!$B$7/Inputs!$B$6)</f>
        <v>38.63567507857109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0" customWidth="1"/>
    <col min="2" max="10" width="13" customWidth="1"/>
  </cols>
  <sheetData>
    <row r="1" spans="1:10" ht="18" x14ac:dyDescent="0.4">
      <c r="A1" s="1" t="s">
        <v>155</v>
      </c>
    </row>
    <row r="2" spans="1:10" x14ac:dyDescent="0.35">
      <c r="A2" s="2" t="s">
        <v>156</v>
      </c>
    </row>
    <row r="4" spans="1:10" x14ac:dyDescent="0.35">
      <c r="A4" s="13" t="s">
        <v>157</v>
      </c>
      <c r="B4" s="14" t="s">
        <v>158</v>
      </c>
      <c r="C4" s="14" t="s">
        <v>159</v>
      </c>
      <c r="D4" s="14" t="s">
        <v>160</v>
      </c>
      <c r="E4" s="14" t="s">
        <v>161</v>
      </c>
      <c r="F4" s="14" t="s">
        <v>162</v>
      </c>
      <c r="G4" s="14" t="s">
        <v>10</v>
      </c>
      <c r="H4" s="14" t="s">
        <v>11</v>
      </c>
      <c r="I4" s="14" t="s">
        <v>163</v>
      </c>
      <c r="J4" s="14" t="s">
        <v>164</v>
      </c>
    </row>
    <row r="5" spans="1:10" x14ac:dyDescent="0.35">
      <c r="A5" s="3" t="s">
        <v>165</v>
      </c>
      <c r="B5" s="19">
        <v>0.25</v>
      </c>
      <c r="C5" s="19">
        <v>-0.02</v>
      </c>
      <c r="D5" s="19">
        <v>-0.02</v>
      </c>
      <c r="E5" s="21">
        <v>5.0000000000000001E-3</v>
      </c>
      <c r="F5" s="21">
        <v>-2.5000000000000001E-3</v>
      </c>
      <c r="G5" s="34">
        <f>WACC!$B$17+E5</f>
        <v>9.0035923218673375E-2</v>
      </c>
      <c r="H5" s="34">
        <f>Inputs!$B$11+F5</f>
        <v>1.2499999999999999E-2</v>
      </c>
      <c r="I5" s="45">
        <f>B25</f>
        <v>28.382536352722806</v>
      </c>
      <c r="J5" s="35">
        <f>I5/Inputs!$B$5-1</f>
        <v>-0.35420850164453233</v>
      </c>
    </row>
    <row r="6" spans="1:10" x14ac:dyDescent="0.35">
      <c r="A6" s="3" t="s">
        <v>166</v>
      </c>
      <c r="B6" s="19">
        <v>0.5</v>
      </c>
      <c r="C6" s="19">
        <v>0</v>
      </c>
      <c r="D6" s="19">
        <v>0</v>
      </c>
      <c r="E6" s="21">
        <v>0</v>
      </c>
      <c r="F6" s="21">
        <v>0</v>
      </c>
      <c r="G6" s="34">
        <f>WACC!$B$17+E6</f>
        <v>8.503592321867337E-2</v>
      </c>
      <c r="H6" s="34">
        <f>Inputs!$B$11+F6</f>
        <v>1.4999999999999999E-2</v>
      </c>
      <c r="I6" s="45">
        <f>B40</f>
        <v>44.661408015887311</v>
      </c>
      <c r="J6" s="35">
        <f>I6/Inputs!$B$5-1</f>
        <v>1.6186758040666938E-2</v>
      </c>
    </row>
    <row r="7" spans="1:10" x14ac:dyDescent="0.35">
      <c r="A7" s="3" t="s">
        <v>167</v>
      </c>
      <c r="B7" s="19">
        <v>0.25</v>
      </c>
      <c r="C7" s="19">
        <v>0.02</v>
      </c>
      <c r="D7" s="19">
        <v>0.02</v>
      </c>
      <c r="E7" s="21">
        <v>-5.0000000000000001E-3</v>
      </c>
      <c r="F7" s="21">
        <v>2.5000000000000001E-3</v>
      </c>
      <c r="G7" s="34">
        <f>WACC!$B$17+E7</f>
        <v>8.0035923218673366E-2</v>
      </c>
      <c r="H7" s="34">
        <f>Inputs!$B$11+F7</f>
        <v>1.7499999999999998E-2</v>
      </c>
      <c r="I7" s="45">
        <f>B55</f>
        <v>67.178585360408604</v>
      </c>
      <c r="J7" s="35">
        <f>I7/Inputs!$B$5-1</f>
        <v>0.52852298886026383</v>
      </c>
    </row>
    <row r="8" spans="1:10" x14ac:dyDescent="0.35">
      <c r="A8" s="3" t="s">
        <v>168</v>
      </c>
      <c r="B8" s="40">
        <f>SUM(B5:B7)</f>
        <v>1</v>
      </c>
      <c r="I8" s="39">
        <f>IFERROR(SUMPRODUCT(B5:B7,I5:I7)/B8,"")</f>
        <v>46.220984436226509</v>
      </c>
      <c r="J8" s="40">
        <f>IFERROR(I8/Inputs!$B$5-1,"")</f>
        <v>5.1672000824266373E-2</v>
      </c>
    </row>
    <row r="12" spans="1:10" x14ac:dyDescent="0.35">
      <c r="A12" s="9" t="s">
        <v>169</v>
      </c>
      <c r="B12" s="46" t="str">
        <f>Forecast!B4</f>
        <v>2025A</v>
      </c>
      <c r="C12" s="14" t="s">
        <v>69</v>
      </c>
      <c r="D12" s="14" t="s">
        <v>70</v>
      </c>
      <c r="E12" s="14" t="s">
        <v>71</v>
      </c>
      <c r="F12" s="14" t="s">
        <v>72</v>
      </c>
      <c r="G12" s="14" t="s">
        <v>73</v>
      </c>
      <c r="H12" s="14" t="s">
        <v>74</v>
      </c>
    </row>
    <row r="13" spans="1:10" x14ac:dyDescent="0.35">
      <c r="A13" s="26" t="s">
        <v>75</v>
      </c>
      <c r="C13" s="27">
        <f>Inputs!B33+$C$5</f>
        <v>2.3847923559530599E-2</v>
      </c>
      <c r="D13" s="27">
        <f>Inputs!C33+$C$5</f>
        <v>3.9899997000000006E-2</v>
      </c>
      <c r="E13" s="27">
        <f>Inputs!D33+$C$5</f>
        <v>2.8674997749999997E-2</v>
      </c>
      <c r="F13" s="27">
        <f>Inputs!E33+$C$5</f>
        <v>1.7449998499999998E-2</v>
      </c>
      <c r="G13" s="27">
        <f>Inputs!F33+$C$5</f>
        <v>6.2249992499999983E-3</v>
      </c>
      <c r="H13" s="27">
        <f>Inputs!G33+$C$5</f>
        <v>-5.000000000000001E-3</v>
      </c>
    </row>
    <row r="14" spans="1:10" x14ac:dyDescent="0.35">
      <c r="A14" s="3" t="s">
        <v>89</v>
      </c>
      <c r="B14" s="32">
        <f>Forecast!B6</f>
        <v>5509</v>
      </c>
      <c r="C14" s="28">
        <f t="shared" ref="C14:H14" si="0">B14*(1+C13)</f>
        <v>5640.3782108894538</v>
      </c>
      <c r="D14" s="28">
        <f t="shared" si="0"/>
        <v>5865.4292845828086</v>
      </c>
      <c r="E14" s="28">
        <f t="shared" si="0"/>
        <v>6033.6204561210052</v>
      </c>
      <c r="F14" s="28">
        <f t="shared" si="0"/>
        <v>6138.9071240298863</v>
      </c>
      <c r="G14" s="28">
        <f t="shared" si="0"/>
        <v>6177.1218162727928</v>
      </c>
      <c r="H14" s="28">
        <f t="shared" si="0"/>
        <v>6146.2362071914285</v>
      </c>
    </row>
    <row r="15" spans="1:10" x14ac:dyDescent="0.35">
      <c r="A15" s="26" t="s">
        <v>76</v>
      </c>
      <c r="C15" s="27">
        <f>Inputs!B34+$D$5</f>
        <v>0.14406156874312981</v>
      </c>
      <c r="D15" s="27">
        <f>Inputs!C34+$D$5</f>
        <v>0.14724925499450392</v>
      </c>
      <c r="E15" s="27">
        <f>Inputs!D34+$D$5</f>
        <v>0.15043694124587792</v>
      </c>
      <c r="F15" s="27">
        <f>Inputs!E34+$D$5</f>
        <v>0.15362462749725192</v>
      </c>
      <c r="G15" s="27">
        <f>Inputs!F34+$D$5</f>
        <v>0.156812313748626</v>
      </c>
      <c r="H15" s="27">
        <f>Inputs!G34+$D$5</f>
        <v>0.16</v>
      </c>
    </row>
    <row r="16" spans="1:10" x14ac:dyDescent="0.35">
      <c r="A16" s="3" t="s">
        <v>93</v>
      </c>
      <c r="C16" s="28">
        <f t="shared" ref="C16:H16" si="1">C14*C15</f>
        <v>812.56173336530253</v>
      </c>
      <c r="D16" s="28">
        <f t="shared" si="1"/>
        <v>863.68009237776471</v>
      </c>
      <c r="E16" s="28">
        <f t="shared" si="1"/>
        <v>907.67940605740284</v>
      </c>
      <c r="F16" s="28">
        <f t="shared" si="1"/>
        <v>943.08732016931742</v>
      </c>
      <c r="G16" s="28">
        <f t="shared" si="1"/>
        <v>968.64876431685173</v>
      </c>
      <c r="H16" s="28">
        <f t="shared" si="1"/>
        <v>983.39779315062856</v>
      </c>
    </row>
    <row r="17" spans="1:8" x14ac:dyDescent="0.35">
      <c r="A17" s="11" t="s">
        <v>96</v>
      </c>
      <c r="C17" s="29">
        <f>C14*Inputs!B35</f>
        <v>255.75437662776315</v>
      </c>
      <c r="D17" s="29">
        <f>D14*Inputs!C35</f>
        <v>265.95897548794778</v>
      </c>
      <c r="E17" s="29">
        <f>E14*Inputs!D35</f>
        <v>273.585348511657</v>
      </c>
      <c r="F17" s="29">
        <f>F14*Inputs!E35</f>
        <v>278.3594124328074</v>
      </c>
      <c r="G17" s="29">
        <f>G14*Inputs!F35</f>
        <v>280.0921995664321</v>
      </c>
      <c r="H17" s="29">
        <f>H14*Inputs!G35</f>
        <v>278.69173856859993</v>
      </c>
    </row>
    <row r="18" spans="1:8" x14ac:dyDescent="0.35">
      <c r="A18" s="11" t="s">
        <v>97</v>
      </c>
      <c r="C18" s="29">
        <f t="shared" ref="C18:H18" si="2">C16-C17</f>
        <v>556.80735673753941</v>
      </c>
      <c r="D18" s="29">
        <f t="shared" si="2"/>
        <v>597.72111688981693</v>
      </c>
      <c r="E18" s="29">
        <f t="shared" si="2"/>
        <v>634.09405754574584</v>
      </c>
      <c r="F18" s="29">
        <f t="shared" si="2"/>
        <v>664.72790773651002</v>
      </c>
      <c r="G18" s="29">
        <f t="shared" si="2"/>
        <v>688.55656475041962</v>
      </c>
      <c r="H18" s="29">
        <f t="shared" si="2"/>
        <v>704.70605458202863</v>
      </c>
    </row>
    <row r="19" spans="1:8" x14ac:dyDescent="0.35">
      <c r="A19" s="11" t="s">
        <v>116</v>
      </c>
      <c r="C19" s="29">
        <f>-MAX(C18,0)*Inputs!$B$10</f>
        <v>-122.49761848225867</v>
      </c>
      <c r="D19" s="29">
        <f>-MAX(D18,0)*Inputs!$B$10</f>
        <v>-131.49864571575972</v>
      </c>
      <c r="E19" s="29">
        <f>-MAX(E18,0)*Inputs!$B$10</f>
        <v>-139.50069266006409</v>
      </c>
      <c r="F19" s="29">
        <f>-MAX(F18,0)*Inputs!$B$10</f>
        <v>-146.2401397020322</v>
      </c>
      <c r="G19" s="29">
        <f>-MAX(G18,0)*Inputs!$B$10</f>
        <v>-151.48244424509232</v>
      </c>
      <c r="H19" s="29">
        <f>-MAX(H18,0)*Inputs!$B$10</f>
        <v>-155.03533200804631</v>
      </c>
    </row>
    <row r="20" spans="1:8" x14ac:dyDescent="0.35">
      <c r="A20" s="11" t="s">
        <v>100</v>
      </c>
      <c r="C20" s="29">
        <f t="shared" ref="C20:H20" si="3">C18+C19</f>
        <v>434.30973825528076</v>
      </c>
      <c r="D20" s="29">
        <f t="shared" si="3"/>
        <v>466.2224711740572</v>
      </c>
      <c r="E20" s="29">
        <f t="shared" si="3"/>
        <v>494.59336488568175</v>
      </c>
      <c r="F20" s="29">
        <f t="shared" si="3"/>
        <v>518.48776803447777</v>
      </c>
      <c r="G20" s="29">
        <f t="shared" si="3"/>
        <v>537.0741205053273</v>
      </c>
      <c r="H20" s="29">
        <f t="shared" si="3"/>
        <v>549.67072257398229</v>
      </c>
    </row>
    <row r="21" spans="1:8" x14ac:dyDescent="0.35">
      <c r="A21" s="11" t="s">
        <v>101</v>
      </c>
      <c r="C21" s="29">
        <f>-C14*Inputs!B36</f>
        <v>-278.33634829340542</v>
      </c>
      <c r="D21" s="29">
        <f>-D14*Inputs!C36</f>
        <v>-287.40495905671162</v>
      </c>
      <c r="E21" s="29">
        <f>-E14*Inputs!D36</f>
        <v>-293.55087569256125</v>
      </c>
      <c r="F21" s="29">
        <f>-F14*Inputs!E36</f>
        <v>-296.54135304019604</v>
      </c>
      <c r="G21" s="29">
        <f>-G14*Inputs!F36</f>
        <v>-296.24206614260947</v>
      </c>
      <c r="H21" s="29">
        <f>-H14*Inputs!G36</f>
        <v>-292.62632549702994</v>
      </c>
    </row>
    <row r="22" spans="1:8" x14ac:dyDescent="0.35">
      <c r="A22" s="11" t="s">
        <v>102</v>
      </c>
      <c r="C22" s="29">
        <f>-Inputs!B37*(C14-B14)</f>
        <v>19.852580143358828</v>
      </c>
      <c r="D22" s="29">
        <f>-Inputs!C37*(D14-C14)</f>
        <v>34.007499771828051</v>
      </c>
      <c r="E22" s="29">
        <f>-Inputs!D37*(E14-D14)</f>
        <v>25.415391865680338</v>
      </c>
      <c r="F22" s="29">
        <f>-Inputs!E37*(F14-E14)</f>
        <v>15.909883370592135</v>
      </c>
      <c r="G22" s="29">
        <f>-Inputs!F37*(G14-F14)</f>
        <v>5.7746275829898241</v>
      </c>
      <c r="H22" s="29">
        <f>-Inputs!G37*(H14-G14)</f>
        <v>-4.66712878347969</v>
      </c>
    </row>
    <row r="23" spans="1:8" x14ac:dyDescent="0.35">
      <c r="A23" s="3" t="s">
        <v>103</v>
      </c>
      <c r="C23" s="28">
        <f t="shared" ref="C23:H23" si="4">C20+C17+C21+C22</f>
        <v>431.58034673299727</v>
      </c>
      <c r="D23" s="28">
        <f t="shared" si="4"/>
        <v>478.78398737712143</v>
      </c>
      <c r="E23" s="28">
        <f t="shared" si="4"/>
        <v>500.04322957045781</v>
      </c>
      <c r="F23" s="28">
        <f t="shared" si="4"/>
        <v>516.21571079768125</v>
      </c>
      <c r="G23" s="28">
        <f t="shared" si="4"/>
        <v>526.69888151213979</v>
      </c>
      <c r="H23" s="28">
        <f t="shared" si="4"/>
        <v>531.06900686207257</v>
      </c>
    </row>
    <row r="24" spans="1:8" x14ac:dyDescent="0.35">
      <c r="A24" s="11" t="s">
        <v>141</v>
      </c>
      <c r="B24" s="29">
        <f>SUMPRODUCT($C$23:$H$23,(1+$G$5)^(-DCF!$B$6:$G$6))-$C$23*Inputs!$B$20*(1+$G$5)^(-DCF!$B$6)+IF(Inputs!$B$21=1,$H$20*(1+$H$5)*(1-$H$5/Inputs!$B$22),$H$23*(1+$H$5))/($G$5-$H$5)/(1+$G$5)^(6-Inputs!$B$19)</f>
        <v>6545.8892441846847</v>
      </c>
    </row>
    <row r="25" spans="1:8" x14ac:dyDescent="0.35">
      <c r="A25" s="3" t="s">
        <v>163</v>
      </c>
      <c r="B25" s="45">
        <f>(B24-Inputs!$B$8-Inputs!$B$9)/Inputs!$B$7/Inputs!$B$6</f>
        <v>28.382536352722806</v>
      </c>
    </row>
    <row r="27" spans="1:8" x14ac:dyDescent="0.35">
      <c r="A27" s="9" t="s">
        <v>170</v>
      </c>
      <c r="B27" s="46" t="str">
        <f>Forecast!B4</f>
        <v>2025A</v>
      </c>
      <c r="C27" s="14" t="s">
        <v>69</v>
      </c>
      <c r="D27" s="14" t="s">
        <v>70</v>
      </c>
      <c r="E27" s="14" t="s">
        <v>71</v>
      </c>
      <c r="F27" s="14" t="s">
        <v>72</v>
      </c>
      <c r="G27" s="14" t="s">
        <v>73</v>
      </c>
      <c r="H27" s="14" t="s">
        <v>74</v>
      </c>
    </row>
    <row r="28" spans="1:8" x14ac:dyDescent="0.35">
      <c r="A28" s="26" t="s">
        <v>75</v>
      </c>
      <c r="C28" s="27">
        <f>Inputs!B33+$C$6</f>
        <v>4.3847923559530599E-2</v>
      </c>
      <c r="D28" s="27">
        <f>Inputs!C33+$C$6</f>
        <v>5.9899997000000003E-2</v>
      </c>
      <c r="E28" s="27">
        <f>Inputs!D33+$C$6</f>
        <v>4.8674997749999997E-2</v>
      </c>
      <c r="F28" s="27">
        <f>Inputs!E33+$C$6</f>
        <v>3.7449998499999998E-2</v>
      </c>
      <c r="G28" s="27">
        <f>Inputs!F33+$C$6</f>
        <v>2.6224999249999999E-2</v>
      </c>
      <c r="H28" s="27">
        <f>Inputs!G33+$C$6</f>
        <v>1.4999999999999999E-2</v>
      </c>
    </row>
    <row r="29" spans="1:8" x14ac:dyDescent="0.35">
      <c r="A29" s="3" t="s">
        <v>89</v>
      </c>
      <c r="B29" s="32">
        <f>Forecast!B6</f>
        <v>5509</v>
      </c>
      <c r="C29" s="28">
        <f t="shared" ref="C29:H29" si="5">B29*(1+C28)</f>
        <v>5750.5582108894541</v>
      </c>
      <c r="D29" s="28">
        <f t="shared" si="5"/>
        <v>6095.0166304700579</v>
      </c>
      <c r="E29" s="28">
        <f t="shared" si="5"/>
        <v>6391.6915512444011</v>
      </c>
      <c r="F29" s="28">
        <f t="shared" si="5"/>
        <v>6631.0603902509674</v>
      </c>
      <c r="G29" s="28">
        <f t="shared" si="5"/>
        <v>6804.9599440120046</v>
      </c>
      <c r="H29" s="28">
        <f t="shared" si="5"/>
        <v>6907.034343172184</v>
      </c>
    </row>
    <row r="30" spans="1:8" x14ac:dyDescent="0.35">
      <c r="A30" s="26" t="s">
        <v>76</v>
      </c>
      <c r="C30" s="27">
        <f>Inputs!B34+$D$6</f>
        <v>0.1640615687431298</v>
      </c>
      <c r="D30" s="27">
        <f>Inputs!C34+$D$6</f>
        <v>0.16724925499450391</v>
      </c>
      <c r="E30" s="27">
        <f>Inputs!D34+$D$6</f>
        <v>0.17043694124587791</v>
      </c>
      <c r="F30" s="27">
        <f>Inputs!E34+$D$6</f>
        <v>0.17362462749725191</v>
      </c>
      <c r="G30" s="27">
        <f>Inputs!F34+$D$6</f>
        <v>0.17681231374862599</v>
      </c>
      <c r="H30" s="27">
        <f>Inputs!G34+$D$6</f>
        <v>0.18</v>
      </c>
    </row>
    <row r="31" spans="1:8" x14ac:dyDescent="0.35">
      <c r="A31" s="3" t="s">
        <v>93</v>
      </c>
      <c r="C31" s="28">
        <f t="shared" ref="C31:H31" si="6">C29*C30</f>
        <v>943.44560122720964</v>
      </c>
      <c r="D31" s="28">
        <f t="shared" si="6"/>
        <v>1019.3869906252287</v>
      </c>
      <c r="E31" s="28">
        <f t="shared" si="6"/>
        <v>1089.3803573812163</v>
      </c>
      <c r="F31" s="28">
        <f t="shared" si="6"/>
        <v>1151.3153901691062</v>
      </c>
      <c r="G31" s="28">
        <f t="shared" si="6"/>
        <v>1203.200712667483</v>
      </c>
      <c r="H31" s="28">
        <f t="shared" si="6"/>
        <v>1243.2661817709932</v>
      </c>
    </row>
    <row r="32" spans="1:8" x14ac:dyDescent="0.35">
      <c r="A32" s="11" t="s">
        <v>96</v>
      </c>
      <c r="C32" s="29">
        <f>C29*Inputs!B35</f>
        <v>260.7503212547465</v>
      </c>
      <c r="D32" s="29">
        <f>D29*Inputs!C35</f>
        <v>276.36926471565482</v>
      </c>
      <c r="E32" s="29">
        <f>E29*Inputs!D35</f>
        <v>289.82153805385849</v>
      </c>
      <c r="F32" s="29">
        <f>F29*Inputs!E35</f>
        <v>300.67535421924322</v>
      </c>
      <c r="G32" s="29">
        <f>G29*Inputs!F35</f>
        <v>308.5605651581364</v>
      </c>
      <c r="H32" s="29">
        <f>H29*Inputs!G35</f>
        <v>313.18897363550843</v>
      </c>
    </row>
    <row r="33" spans="1:8" x14ac:dyDescent="0.35">
      <c r="A33" s="11" t="s">
        <v>97</v>
      </c>
      <c r="C33" s="29">
        <f t="shared" ref="C33:H33" si="7">C31-C32</f>
        <v>682.69527997246314</v>
      </c>
      <c r="D33" s="29">
        <f t="shared" si="7"/>
        <v>743.01772590957387</v>
      </c>
      <c r="E33" s="29">
        <f t="shared" si="7"/>
        <v>799.55881932735781</v>
      </c>
      <c r="F33" s="29">
        <f t="shared" si="7"/>
        <v>850.64003594986298</v>
      </c>
      <c r="G33" s="29">
        <f t="shared" si="7"/>
        <v>894.64014750934666</v>
      </c>
      <c r="H33" s="29">
        <f t="shared" si="7"/>
        <v>930.07720813548474</v>
      </c>
    </row>
    <row r="34" spans="1:8" x14ac:dyDescent="0.35">
      <c r="A34" s="11" t="s">
        <v>116</v>
      </c>
      <c r="C34" s="29">
        <f>-MAX(C33,0)*Inputs!$B$10</f>
        <v>-150.1929615939419</v>
      </c>
      <c r="D34" s="29">
        <f>-MAX(D33,0)*Inputs!$B$10</f>
        <v>-163.46389970010625</v>
      </c>
      <c r="E34" s="29">
        <f>-MAX(E33,0)*Inputs!$B$10</f>
        <v>-175.90294025201871</v>
      </c>
      <c r="F34" s="29">
        <f>-MAX(F33,0)*Inputs!$B$10</f>
        <v>-187.14080790896986</v>
      </c>
      <c r="G34" s="29">
        <f>-MAX(G33,0)*Inputs!$B$10</f>
        <v>-196.82083245205627</v>
      </c>
      <c r="H34" s="29">
        <f>-MAX(H33,0)*Inputs!$B$10</f>
        <v>-204.61698578980665</v>
      </c>
    </row>
    <row r="35" spans="1:8" x14ac:dyDescent="0.35">
      <c r="A35" s="11" t="s">
        <v>100</v>
      </c>
      <c r="C35" s="29">
        <f t="shared" ref="C35:H35" si="8">C33+C34</f>
        <v>532.5023183785213</v>
      </c>
      <c r="D35" s="29">
        <f t="shared" si="8"/>
        <v>579.55382620946762</v>
      </c>
      <c r="E35" s="29">
        <f t="shared" si="8"/>
        <v>623.65587907533904</v>
      </c>
      <c r="F35" s="29">
        <f t="shared" si="8"/>
        <v>663.49922804089306</v>
      </c>
      <c r="G35" s="29">
        <f t="shared" si="8"/>
        <v>697.8193150572904</v>
      </c>
      <c r="H35" s="29">
        <f t="shared" si="8"/>
        <v>725.46022234567806</v>
      </c>
    </row>
    <row r="36" spans="1:8" x14ac:dyDescent="0.35">
      <c r="A36" s="11" t="s">
        <v>101</v>
      </c>
      <c r="C36" s="29">
        <f>-C29*Inputs!B36</f>
        <v>-283.77341256610981</v>
      </c>
      <c r="D36" s="29">
        <f>-D29*Inputs!C36</f>
        <v>-298.65469689228718</v>
      </c>
      <c r="E36" s="29">
        <f>-E29*Inputs!D36</f>
        <v>-310.97193893279751</v>
      </c>
      <c r="F36" s="29">
        <f>-F29*Inputs!E36</f>
        <v>-320.31493236298377</v>
      </c>
      <c r="G36" s="29">
        <f>-G29*Inputs!F36</f>
        <v>-326.35189232000505</v>
      </c>
      <c r="H36" s="29">
        <f>-H29*Inputs!G36</f>
        <v>-328.84842231728391</v>
      </c>
    </row>
    <row r="37" spans="1:8" x14ac:dyDescent="0.35">
      <c r="A37" s="11" t="s">
        <v>102</v>
      </c>
      <c r="C37" s="29">
        <f>-Inputs!B37*(C29-B29)</f>
        <v>36.501895622588485</v>
      </c>
      <c r="D37" s="29">
        <f>-Inputs!C37*(D29-C29)</f>
        <v>52.051160801182732</v>
      </c>
      <c r="E37" s="29">
        <f>-Inputs!D37*(E29-D29)</f>
        <v>44.830589496709848</v>
      </c>
      <c r="F37" s="29">
        <f>-Inputs!E37*(F29-E29)</f>
        <v>36.171059325805452</v>
      </c>
      <c r="G37" s="29">
        <f>-Inputs!F37*(G29-F29)</f>
        <v>26.277986315708457</v>
      </c>
      <c r="H37" s="29">
        <f>-Inputs!G37*(H29-G29)</f>
        <v>15.424476982852028</v>
      </c>
    </row>
    <row r="38" spans="1:8" x14ac:dyDescent="0.35">
      <c r="A38" s="3" t="s">
        <v>103</v>
      </c>
      <c r="C38" s="28">
        <f t="shared" ref="C38:H38" si="9">C35+C32+C36+C37</f>
        <v>545.98112268974648</v>
      </c>
      <c r="D38" s="28">
        <f t="shared" si="9"/>
        <v>609.31955483401794</v>
      </c>
      <c r="E38" s="28">
        <f t="shared" si="9"/>
        <v>647.33606769310984</v>
      </c>
      <c r="F38" s="28">
        <f t="shared" si="9"/>
        <v>680.03070922295797</v>
      </c>
      <c r="G38" s="28">
        <f t="shared" si="9"/>
        <v>706.30597421113009</v>
      </c>
      <c r="H38" s="28">
        <f t="shared" si="9"/>
        <v>725.22525064675472</v>
      </c>
    </row>
    <row r="39" spans="1:8" x14ac:dyDescent="0.35">
      <c r="A39" s="11" t="s">
        <v>141</v>
      </c>
      <c r="B39" s="29">
        <f>SUMPRODUCT($C$38:$H$38,(1+$G$6)^(-DCF!$B$6:$G$6))-$C$38*Inputs!$B$20*(1+$G$6)^(-DCF!$B$6)+IF(Inputs!$B$21=1,$H$35*(1+$H$6)*(1-$H$6/Inputs!$B$22),$H$38*(1+$H$6))/($G$6-$H$6)/(1+$G$6)^(6-Inputs!$B$19)</f>
        <v>9682.583760832511</v>
      </c>
    </row>
    <row r="40" spans="1:8" x14ac:dyDescent="0.35">
      <c r="A40" s="3" t="s">
        <v>163</v>
      </c>
      <c r="B40" s="45">
        <f>(B39-Inputs!$B$8-Inputs!$B$9)/Inputs!$B$7/Inputs!$B$6</f>
        <v>44.661408015887311</v>
      </c>
    </row>
    <row r="42" spans="1:8" x14ac:dyDescent="0.35">
      <c r="A42" s="9" t="s">
        <v>171</v>
      </c>
      <c r="B42" s="46" t="str">
        <f>Forecast!B4</f>
        <v>2025A</v>
      </c>
      <c r="C42" s="14" t="s">
        <v>69</v>
      </c>
      <c r="D42" s="14" t="s">
        <v>70</v>
      </c>
      <c r="E42" s="14" t="s">
        <v>71</v>
      </c>
      <c r="F42" s="14" t="s">
        <v>72</v>
      </c>
      <c r="G42" s="14" t="s">
        <v>73</v>
      </c>
      <c r="H42" s="14" t="s">
        <v>74</v>
      </c>
    </row>
    <row r="43" spans="1:8" x14ac:dyDescent="0.35">
      <c r="A43" s="26" t="s">
        <v>75</v>
      </c>
      <c r="C43" s="27">
        <f>Inputs!B33+$C$7</f>
        <v>6.3847923559530603E-2</v>
      </c>
      <c r="D43" s="27">
        <f>Inputs!C33+$C$7</f>
        <v>7.9899997E-2</v>
      </c>
      <c r="E43" s="27">
        <f>Inputs!D33+$C$7</f>
        <v>6.8674997749999994E-2</v>
      </c>
      <c r="F43" s="27">
        <f>Inputs!E33+$C$7</f>
        <v>5.7449998500000002E-2</v>
      </c>
      <c r="G43" s="27">
        <f>Inputs!F33+$C$7</f>
        <v>4.6224999249999996E-2</v>
      </c>
      <c r="H43" s="27">
        <f>Inputs!G33+$C$7</f>
        <v>3.5000000000000003E-2</v>
      </c>
    </row>
    <row r="44" spans="1:8" x14ac:dyDescent="0.35">
      <c r="A44" s="3" t="s">
        <v>89</v>
      </c>
      <c r="B44" s="32">
        <f>Forecast!B6</f>
        <v>5509</v>
      </c>
      <c r="C44" s="28">
        <f t="shared" ref="C44:H44" si="10">B44*(1+C43)</f>
        <v>5860.7382108894544</v>
      </c>
      <c r="D44" s="28">
        <f t="shared" si="10"/>
        <v>6329.0111763573077</v>
      </c>
      <c r="E44" s="28">
        <f t="shared" si="10"/>
        <v>6763.6560046533714</v>
      </c>
      <c r="F44" s="28">
        <f t="shared" si="10"/>
        <v>7152.2280319752244</v>
      </c>
      <c r="G44" s="28">
        <f t="shared" si="10"/>
        <v>7482.8397673891077</v>
      </c>
      <c r="H44" s="28">
        <f t="shared" si="10"/>
        <v>7744.7391592477261</v>
      </c>
    </row>
    <row r="45" spans="1:8" x14ac:dyDescent="0.35">
      <c r="A45" s="26" t="s">
        <v>76</v>
      </c>
      <c r="C45" s="27">
        <f>Inputs!B34+$D$7</f>
        <v>0.18406156874312979</v>
      </c>
      <c r="D45" s="27">
        <f>Inputs!C34+$D$7</f>
        <v>0.1872492549945039</v>
      </c>
      <c r="E45" s="27">
        <f>Inputs!D34+$D$7</f>
        <v>0.1904369412458779</v>
      </c>
      <c r="F45" s="27">
        <f>Inputs!E34+$D$7</f>
        <v>0.1936246274972519</v>
      </c>
      <c r="G45" s="27">
        <f>Inputs!F34+$D$7</f>
        <v>0.19681231374862598</v>
      </c>
      <c r="H45" s="27">
        <f>Inputs!G34+$D$7</f>
        <v>0.19999999999999998</v>
      </c>
    </row>
    <row r="46" spans="1:8" x14ac:dyDescent="0.35">
      <c r="A46" s="3" t="s">
        <v>93</v>
      </c>
      <c r="C46" s="28">
        <f t="shared" ref="C46:H46" si="11">C44*C45</f>
        <v>1078.7366690891167</v>
      </c>
      <c r="D46" s="28">
        <f t="shared" si="11"/>
        <v>1185.1026276247946</v>
      </c>
      <c r="E46" s="28">
        <f t="shared" si="11"/>
        <v>1288.0499611655034</v>
      </c>
      <c r="F46" s="28">
        <f t="shared" si="11"/>
        <v>1384.8474884666059</v>
      </c>
      <c r="G46" s="28">
        <f t="shared" si="11"/>
        <v>1472.7150080300805</v>
      </c>
      <c r="H46" s="28">
        <f t="shared" si="11"/>
        <v>1548.9478318495451</v>
      </c>
    </row>
    <row r="47" spans="1:8" x14ac:dyDescent="0.35">
      <c r="A47" s="11" t="s">
        <v>96</v>
      </c>
      <c r="C47" s="29">
        <f>C44*Inputs!B35</f>
        <v>265.74626588172981</v>
      </c>
      <c r="D47" s="29">
        <f>D44*Inputs!C35</f>
        <v>286.97939172844127</v>
      </c>
      <c r="E47" s="29">
        <f>E44*Inputs!D35</f>
        <v>306.68770080968835</v>
      </c>
      <c r="F47" s="29">
        <f>F44*Inputs!E35</f>
        <v>324.30690876117342</v>
      </c>
      <c r="G47" s="29">
        <f>G44*Inputs!F35</f>
        <v>339.29799537542846</v>
      </c>
      <c r="H47" s="29">
        <f>H44*Inputs!G35</f>
        <v>351.17342521356846</v>
      </c>
    </row>
    <row r="48" spans="1:8" x14ac:dyDescent="0.35">
      <c r="A48" s="11" t="s">
        <v>97</v>
      </c>
      <c r="C48" s="29">
        <f t="shared" ref="C48:H48" si="12">C46-C47</f>
        <v>812.99040320738686</v>
      </c>
      <c r="D48" s="29">
        <f t="shared" si="12"/>
        <v>898.12323589635344</v>
      </c>
      <c r="E48" s="29">
        <f t="shared" si="12"/>
        <v>981.36226035581512</v>
      </c>
      <c r="F48" s="29">
        <f t="shared" si="12"/>
        <v>1060.5405797054325</v>
      </c>
      <c r="G48" s="29">
        <f t="shared" si="12"/>
        <v>1133.4170126546521</v>
      </c>
      <c r="H48" s="29">
        <f t="shared" si="12"/>
        <v>1197.7744066359767</v>
      </c>
    </row>
    <row r="49" spans="1:8" x14ac:dyDescent="0.35">
      <c r="A49" s="11" t="s">
        <v>116</v>
      </c>
      <c r="C49" s="29">
        <f>-MAX(C48,0)*Inputs!$B$10</f>
        <v>-178.8578887056251</v>
      </c>
      <c r="D49" s="29">
        <f>-MAX(D48,0)*Inputs!$B$10</f>
        <v>-197.58711189719776</v>
      </c>
      <c r="E49" s="29">
        <f>-MAX(E48,0)*Inputs!$B$10</f>
        <v>-215.89969727827932</v>
      </c>
      <c r="F49" s="29">
        <f>-MAX(F48,0)*Inputs!$B$10</f>
        <v>-233.31892753519514</v>
      </c>
      <c r="G49" s="29">
        <f>-MAX(G48,0)*Inputs!$B$10</f>
        <v>-249.35174278402346</v>
      </c>
      <c r="H49" s="29">
        <f>-MAX(H48,0)*Inputs!$B$10</f>
        <v>-263.5103694599149</v>
      </c>
    </row>
    <row r="50" spans="1:8" x14ac:dyDescent="0.35">
      <c r="A50" s="11" t="s">
        <v>100</v>
      </c>
      <c r="C50" s="29">
        <f t="shared" ref="C50:H50" si="13">C48+C49</f>
        <v>634.13251450176176</v>
      </c>
      <c r="D50" s="29">
        <f t="shared" si="13"/>
        <v>700.53612399915573</v>
      </c>
      <c r="E50" s="29">
        <f t="shared" si="13"/>
        <v>765.46256307753583</v>
      </c>
      <c r="F50" s="29">
        <f t="shared" si="13"/>
        <v>827.22165217023735</v>
      </c>
      <c r="G50" s="29">
        <f t="shared" si="13"/>
        <v>884.06526987062864</v>
      </c>
      <c r="H50" s="29">
        <f t="shared" si="13"/>
        <v>934.26403717606172</v>
      </c>
    </row>
    <row r="51" spans="1:8" x14ac:dyDescent="0.35">
      <c r="A51" s="11" t="s">
        <v>101</v>
      </c>
      <c r="C51" s="29">
        <f>-C44*Inputs!B36</f>
        <v>-289.2104768388142</v>
      </c>
      <c r="D51" s="29">
        <f>-D44*Inputs!C36</f>
        <v>-310.12038671945595</v>
      </c>
      <c r="E51" s="29">
        <f>-E44*Inputs!D36</f>
        <v>-329.06894914727599</v>
      </c>
      <c r="F51" s="29">
        <f>-F44*Inputs!E36</f>
        <v>-345.49005792119982</v>
      </c>
      <c r="G51" s="29">
        <f>-G44*Inputs!F36</f>
        <v>-358.86161536684477</v>
      </c>
      <c r="H51" s="29">
        <f>-H44*Inputs!G36</f>
        <v>-368.73209647424693</v>
      </c>
    </row>
    <row r="52" spans="1:8" x14ac:dyDescent="0.35">
      <c r="A52" s="11" t="s">
        <v>102</v>
      </c>
      <c r="C52" s="29">
        <f>-Inputs!B37*(C44-B44)</f>
        <v>53.151211101818134</v>
      </c>
      <c r="D52" s="29">
        <f>-Inputs!C37*(D44-C44)</f>
        <v>70.76079444970668</v>
      </c>
      <c r="E52" s="29">
        <f>-Inputs!D37*(E44-D44)</f>
        <v>65.679241856205749</v>
      </c>
      <c r="F52" s="29">
        <f>-Inputs!E37*(F44-E44)</f>
        <v>58.717174344575774</v>
      </c>
      <c r="G52" s="29">
        <f>-Inputs!F37*(G44-F44)</f>
        <v>49.958786386289077</v>
      </c>
      <c r="H52" s="29">
        <f>-Inputs!G37*(H44-G44)</f>
        <v>39.575654373502601</v>
      </c>
    </row>
    <row r="53" spans="1:8" x14ac:dyDescent="0.35">
      <c r="A53" s="3" t="s">
        <v>103</v>
      </c>
      <c r="C53" s="28">
        <f t="shared" ref="C53:H53" si="14">C50+C47+C51+C52</f>
        <v>663.81951464649558</v>
      </c>
      <c r="D53" s="28">
        <f t="shared" si="14"/>
        <v>748.15592345784762</v>
      </c>
      <c r="E53" s="28">
        <f t="shared" si="14"/>
        <v>808.76055659615383</v>
      </c>
      <c r="F53" s="28">
        <f t="shared" si="14"/>
        <v>864.75567735478671</v>
      </c>
      <c r="G53" s="28">
        <f t="shared" si="14"/>
        <v>914.46043626550147</v>
      </c>
      <c r="H53" s="28">
        <f t="shared" si="14"/>
        <v>956.28102028888588</v>
      </c>
    </row>
    <row r="54" spans="1:8" x14ac:dyDescent="0.35">
      <c r="A54" s="11" t="s">
        <v>141</v>
      </c>
      <c r="B54" s="29">
        <f>SUMPRODUCT($C$53:$H$53,(1+$G$7)^(-DCF!$B$6:$G$6))-$C$53*Inputs!$B$20*(1+$G$7)^(-DCF!$B$6)+IF(Inputs!$B$21=1,$H$50*(1+$H$7)*(1-$H$7/Inputs!$B$22),$H$53*(1+$H$7))/($G$7-$H$7)/(1+$G$7)^(6-Inputs!$B$19)</f>
        <v>14021.306257599015</v>
      </c>
    </row>
    <row r="55" spans="1:8" x14ac:dyDescent="0.35">
      <c r="A55" s="3" t="s">
        <v>163</v>
      </c>
      <c r="B55" s="45">
        <f>(B54-Inputs!$B$8-Inputs!$B$9)/Inputs!$B$7/Inputs!$B$6</f>
        <v>67.178585360408604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3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4" customWidth="1"/>
    <col min="2" max="2" width="12" customWidth="1"/>
    <col min="3" max="3" width="18" customWidth="1"/>
    <col min="4" max="5" width="14" customWidth="1"/>
    <col min="6" max="20" width="12" customWidth="1"/>
  </cols>
  <sheetData>
    <row r="1" spans="1:21" ht="18" x14ac:dyDescent="0.4">
      <c r="A1" s="1" t="s">
        <v>172</v>
      </c>
    </row>
    <row r="2" spans="1:21" x14ac:dyDescent="0.35">
      <c r="A2" s="2" t="s">
        <v>173</v>
      </c>
    </row>
    <row r="4" spans="1:21" x14ac:dyDescent="0.35">
      <c r="A4" s="13" t="s">
        <v>174</v>
      </c>
      <c r="B4" s="13" t="s">
        <v>175</v>
      </c>
      <c r="C4" s="13" t="s">
        <v>176</v>
      </c>
      <c r="D4" s="14" t="s">
        <v>177</v>
      </c>
      <c r="E4" s="14" t="s">
        <v>178</v>
      </c>
      <c r="F4" s="14" t="s">
        <v>179</v>
      </c>
      <c r="G4" s="14" t="s">
        <v>76</v>
      </c>
      <c r="H4" s="14" t="s">
        <v>180</v>
      </c>
      <c r="I4" s="14" t="s">
        <v>181</v>
      </c>
      <c r="J4" s="14" t="s">
        <v>182</v>
      </c>
      <c r="K4" s="14" t="s">
        <v>183</v>
      </c>
      <c r="L4" s="14" t="s">
        <v>184</v>
      </c>
      <c r="M4" s="14" t="s">
        <v>185</v>
      </c>
      <c r="N4" s="14" t="s">
        <v>186</v>
      </c>
      <c r="O4" s="14" t="s">
        <v>187</v>
      </c>
      <c r="P4" s="14" t="s">
        <v>188</v>
      </c>
      <c r="Q4" s="14" t="s">
        <v>189</v>
      </c>
      <c r="R4" s="14" t="s">
        <v>190</v>
      </c>
      <c r="S4" s="14" t="s">
        <v>191</v>
      </c>
      <c r="T4" s="14" t="s">
        <v>192</v>
      </c>
      <c r="U4" s="14" t="s">
        <v>193</v>
      </c>
    </row>
    <row r="5" spans="1:21" x14ac:dyDescent="0.35">
      <c r="A5" s="11" t="s">
        <v>194</v>
      </c>
      <c r="B5" s="11" t="s">
        <v>195</v>
      </c>
      <c r="C5" s="11" t="s">
        <v>196</v>
      </c>
      <c r="D5" s="18">
        <v>22723.499210754391</v>
      </c>
      <c r="E5" s="18">
        <v>34221.954687515259</v>
      </c>
      <c r="F5" s="19">
        <v>0.16894338380513491</v>
      </c>
      <c r="G5" s="19">
        <v>0.21286765223512849</v>
      </c>
      <c r="H5" s="47">
        <v>2.2246760887011621</v>
      </c>
      <c r="I5" s="47">
        <v>10.450982407810081</v>
      </c>
      <c r="J5" s="47">
        <v>45.880098782639003</v>
      </c>
      <c r="K5" s="47">
        <v>46.228572999999997</v>
      </c>
      <c r="L5" s="47">
        <v>15.80190803839243</v>
      </c>
      <c r="M5" s="47">
        <v>1.7443116958585509</v>
      </c>
      <c r="N5" s="47">
        <v>8.1943483546848483</v>
      </c>
      <c r="O5" s="47">
        <v>22.164535373529962</v>
      </c>
      <c r="P5" s="47">
        <v>14.2778983780731</v>
      </c>
      <c r="Q5" s="19">
        <v>0.11480862690634509</v>
      </c>
      <c r="R5" s="19">
        <v>0.55236679703285629</v>
      </c>
      <c r="S5" s="24">
        <v>0.28607635584317159</v>
      </c>
      <c r="T5" s="19">
        <v>5.5615062984578287E-2</v>
      </c>
      <c r="U5" s="19"/>
    </row>
    <row r="6" spans="1:21" x14ac:dyDescent="0.35">
      <c r="A6" s="11" t="s">
        <v>197</v>
      </c>
      <c r="B6" s="11" t="s">
        <v>198</v>
      </c>
      <c r="C6" s="11" t="s">
        <v>196</v>
      </c>
      <c r="D6" s="18">
        <v>33255.243158947269</v>
      </c>
      <c r="E6" s="18">
        <v>54488.069015445981</v>
      </c>
      <c r="F6" s="19">
        <v>0.12058521360736731</v>
      </c>
      <c r="G6" s="19">
        <v>0.4230448270562579</v>
      </c>
      <c r="H6" s="47">
        <v>4.0955080415198193</v>
      </c>
      <c r="I6" s="47">
        <v>9.6810261693028234</v>
      </c>
      <c r="J6" s="47">
        <v>13.2168180073584</v>
      </c>
      <c r="K6" s="47">
        <v>15.794218000000001</v>
      </c>
      <c r="L6" s="47">
        <v>13.060563815825519</v>
      </c>
      <c r="M6" s="47">
        <v>3.858675561181018</v>
      </c>
      <c r="N6" s="47">
        <v>9.1211978362469797</v>
      </c>
      <c r="O6" s="47">
        <v>14.241593365475451</v>
      </c>
      <c r="P6" s="47">
        <v>12.66988450173125</v>
      </c>
      <c r="Q6" s="19">
        <v>7.0202992349902127E-2</v>
      </c>
      <c r="R6" s="19">
        <v>0.1240507649086648</v>
      </c>
      <c r="S6" s="24">
        <v>1.0528402485419299</v>
      </c>
      <c r="T6" s="19">
        <v>7.2330139256007508E-2</v>
      </c>
      <c r="U6" s="19"/>
    </row>
    <row r="7" spans="1:21" x14ac:dyDescent="0.35">
      <c r="A7" s="11" t="s">
        <v>199</v>
      </c>
      <c r="B7" s="11" t="s">
        <v>200</v>
      </c>
      <c r="C7" s="11" t="s">
        <v>196</v>
      </c>
      <c r="D7" s="18">
        <v>84692.409902242187</v>
      </c>
      <c r="E7" s="18">
        <v>96722.694723889828</v>
      </c>
      <c r="F7" s="19">
        <v>0.14279309956714911</v>
      </c>
      <c r="G7" s="19">
        <v>0.23387428976637839</v>
      </c>
      <c r="H7" s="47">
        <v>3.2188778412545589</v>
      </c>
      <c r="I7" s="47">
        <v>13.76328216526049</v>
      </c>
      <c r="J7" s="47">
        <v>23.945054175481221</v>
      </c>
      <c r="K7" s="47">
        <v>21.934425000000001</v>
      </c>
      <c r="L7" s="47">
        <v>20.441415696171081</v>
      </c>
      <c r="M7" s="47">
        <v>2.7958985426399892</v>
      </c>
      <c r="N7" s="47">
        <v>11.95470671629988</v>
      </c>
      <c r="O7" s="47">
        <v>22.879616963064301</v>
      </c>
      <c r="P7" s="47">
        <v>19.66230216461668</v>
      </c>
      <c r="Q7" s="19">
        <v>0.1196982397511706</v>
      </c>
      <c r="R7" s="19">
        <v>0.16362859097127219</v>
      </c>
      <c r="S7" s="24">
        <v>1.2492569651082499</v>
      </c>
      <c r="T7" s="19">
        <v>-2.3365166314783408E-3</v>
      </c>
      <c r="U7" s="19"/>
    </row>
    <row r="8" spans="1:21" x14ac:dyDescent="0.35">
      <c r="A8" s="11" t="s">
        <v>201</v>
      </c>
      <c r="B8" s="11" t="s">
        <v>202</v>
      </c>
      <c r="C8" s="11" t="s">
        <v>196</v>
      </c>
      <c r="D8" s="18">
        <v>4157.2359896188354</v>
      </c>
      <c r="E8" s="18">
        <v>4904.5773867135622</v>
      </c>
      <c r="F8" s="19">
        <v>8.2191780821917915E-2</v>
      </c>
      <c r="G8" s="19">
        <v>0.18832176398530009</v>
      </c>
      <c r="H8" s="47">
        <v>1.586410126582279</v>
      </c>
      <c r="I8" s="47">
        <v>8.423934084995663</v>
      </c>
      <c r="J8" s="47">
        <v>30.305135725429022</v>
      </c>
      <c r="K8" s="47">
        <v>47.625</v>
      </c>
      <c r="L8" s="47">
        <v>33.696423998852246</v>
      </c>
      <c r="M8" s="47">
        <v>1.3384127052016339</v>
      </c>
      <c r="N8" s="47">
        <v>7.1070527212463146</v>
      </c>
      <c r="O8" s="47">
        <v>36.389684813753583</v>
      </c>
      <c r="P8" s="47">
        <v>32.793940437252537</v>
      </c>
      <c r="Q8" s="19">
        <v>0.1081127185371358</v>
      </c>
      <c r="R8" s="19">
        <v>0.1096466093600765</v>
      </c>
      <c r="S8" s="24">
        <v>3.0731843141810331</v>
      </c>
      <c r="T8" s="19">
        <v>6.6502315859642336E-2</v>
      </c>
      <c r="U8" s="19"/>
    </row>
    <row r="9" spans="1:21" x14ac:dyDescent="0.35">
      <c r="A9" s="11" t="s">
        <v>203</v>
      </c>
      <c r="B9" s="11" t="s">
        <v>204</v>
      </c>
      <c r="C9" s="11" t="s">
        <v>196</v>
      </c>
      <c r="D9" s="18">
        <v>1828.077562892883</v>
      </c>
      <c r="E9" s="18">
        <v>6000.2662913627319</v>
      </c>
      <c r="F9" s="19">
        <v>-1.706592247132788E-2</v>
      </c>
      <c r="G9" s="19">
        <v>-1.53711802101727E-2</v>
      </c>
      <c r="H9" s="47">
        <v>2.2029586161472601</v>
      </c>
      <c r="I9" s="47"/>
      <c r="J9" s="47"/>
      <c r="K9" s="47"/>
      <c r="L9" s="47">
        <v>7.0192580333470511</v>
      </c>
      <c r="M9" s="47">
        <v>2.3969983819341509</v>
      </c>
      <c r="N9" s="47"/>
      <c r="O9" s="47">
        <v>12.73491189786014</v>
      </c>
      <c r="P9" s="47">
        <v>6.0153846153846153</v>
      </c>
      <c r="Q9" s="19">
        <v>5.3151361476219787E-2</v>
      </c>
      <c r="R9" s="19">
        <v>1.1170569651174149</v>
      </c>
      <c r="S9" s="24">
        <v>6.2837064290711883E-2</v>
      </c>
      <c r="T9" s="19">
        <v>6.0774291308523291E-2</v>
      </c>
      <c r="U9" s="19"/>
    </row>
    <row r="10" spans="1:21" x14ac:dyDescent="0.35">
      <c r="A10" s="11" t="s">
        <v>205</v>
      </c>
      <c r="B10" s="11" t="s">
        <v>206</v>
      </c>
      <c r="C10" s="11" t="s">
        <v>207</v>
      </c>
      <c r="D10" s="18">
        <v>13780.130816000001</v>
      </c>
      <c r="E10" s="18">
        <v>15454.488815999999</v>
      </c>
      <c r="F10" s="19">
        <v>0.16687030338572639</v>
      </c>
      <c r="G10" s="19">
        <v>8.9590047542978543E-2</v>
      </c>
      <c r="H10" s="47">
        <v>1.030727487313396</v>
      </c>
      <c r="I10" s="47">
        <v>11.50493292035514</v>
      </c>
      <c r="J10" s="47">
        <v>13.071592901785911</v>
      </c>
      <c r="K10" s="47">
        <v>16.038094999999998</v>
      </c>
      <c r="L10" s="47">
        <v>13.01362244330315</v>
      </c>
      <c r="M10" s="47">
        <v>0.96843879869313276</v>
      </c>
      <c r="N10" s="47">
        <v>10.809669435977799</v>
      </c>
      <c r="O10" s="47">
        <v>15.419607440967811</v>
      </c>
      <c r="P10" s="47">
        <v>12.299997224466191</v>
      </c>
      <c r="Q10" s="19">
        <v>5.3725183638773773E-2</v>
      </c>
      <c r="R10" s="19">
        <v>0.25362690410176197</v>
      </c>
      <c r="S10" s="24">
        <v>0.51310102488503084</v>
      </c>
      <c r="T10" s="19">
        <v>3.2482420230748557E-2</v>
      </c>
      <c r="U10" s="19">
        <v>4.4536817102137763E-2</v>
      </c>
    </row>
    <row r="11" spans="1:21" x14ac:dyDescent="0.35">
      <c r="A11" s="11" t="s">
        <v>208</v>
      </c>
      <c r="B11" s="11" t="s">
        <v>209</v>
      </c>
      <c r="C11" s="11" t="s">
        <v>207</v>
      </c>
      <c r="D11" s="18">
        <v>4950.5807359999999</v>
      </c>
      <c r="E11" s="18">
        <v>6031.7897359999997</v>
      </c>
      <c r="F11" s="19">
        <v>4.2173675488990092E-2</v>
      </c>
      <c r="G11" s="19">
        <v>0.12504663209973871</v>
      </c>
      <c r="H11" s="47">
        <v>1.4808675495550609</v>
      </c>
      <c r="I11" s="47">
        <v>11.842522462931299</v>
      </c>
      <c r="J11" s="47">
        <v>15.71442338092586</v>
      </c>
      <c r="K11" s="47">
        <v>19.061032999999998</v>
      </c>
      <c r="L11" s="47">
        <v>12.930808518157409</v>
      </c>
      <c r="M11" s="47">
        <v>1.365663101463447</v>
      </c>
      <c r="N11" s="47">
        <v>10.92123057240101</v>
      </c>
      <c r="O11" s="47">
        <v>14.93318686222848</v>
      </c>
      <c r="P11" s="47">
        <v>12.31671554252199</v>
      </c>
      <c r="Q11" s="19">
        <v>6.0522733984546662E-2</v>
      </c>
      <c r="R11" s="19">
        <v>0.21243255238569289</v>
      </c>
      <c r="S11" s="24">
        <v>0.60870183843953518</v>
      </c>
      <c r="T11" s="19">
        <v>-1.684065051070404E-2</v>
      </c>
      <c r="U11" s="19">
        <v>8.2101806239737271E-2</v>
      </c>
    </row>
    <row r="12" spans="1:21" x14ac:dyDescent="0.35">
      <c r="A12" s="11" t="s">
        <v>210</v>
      </c>
      <c r="B12" s="11" t="s">
        <v>211</v>
      </c>
      <c r="C12" s="11" t="s">
        <v>207</v>
      </c>
      <c r="D12" s="18">
        <v>90498.891776000004</v>
      </c>
      <c r="E12" s="18">
        <v>112906.891776</v>
      </c>
      <c r="F12" s="19">
        <v>3.3110000866376048E-2</v>
      </c>
      <c r="G12" s="19">
        <v>0.15654252093401869</v>
      </c>
      <c r="H12" s="47">
        <v>1.594257236921252</v>
      </c>
      <c r="I12" s="47">
        <v>10.184180166570959</v>
      </c>
      <c r="J12" s="47">
        <v>12.42760143373649</v>
      </c>
      <c r="K12" s="47">
        <v>14.322679000000001</v>
      </c>
      <c r="L12" s="47">
        <v>13.81990326504989</v>
      </c>
      <c r="M12" s="47">
        <v>1.5650662702643749</v>
      </c>
      <c r="N12" s="47">
        <v>9.9977070825634478</v>
      </c>
      <c r="O12" s="47">
        <v>14.20686156689152</v>
      </c>
      <c r="P12" s="47">
        <v>13.681342487183739</v>
      </c>
      <c r="Q12" s="19">
        <v>2.9501375933732369E-2</v>
      </c>
      <c r="R12" s="19">
        <v>3.8411367904872762E-2</v>
      </c>
      <c r="S12" s="24">
        <v>3.5978680320043308</v>
      </c>
      <c r="T12" s="19">
        <v>6.6277054694173054E-2</v>
      </c>
      <c r="U12" s="19">
        <v>4.250797024442083E-2</v>
      </c>
    </row>
    <row r="13" spans="1:21" x14ac:dyDescent="0.35">
      <c r="A13" s="11" t="s">
        <v>212</v>
      </c>
      <c r="B13" s="11" t="s">
        <v>213</v>
      </c>
      <c r="C13" s="11" t="s">
        <v>207</v>
      </c>
      <c r="D13" s="18">
        <v>26048.00866837598</v>
      </c>
      <c r="E13" s="18">
        <v>23935.70899398423</v>
      </c>
      <c r="F13" s="19">
        <v>7.6307120679126594E-2</v>
      </c>
      <c r="G13" s="19">
        <v>0.1374906119736318</v>
      </c>
      <c r="H13" s="47">
        <v>1.9217920088766289</v>
      </c>
      <c r="I13" s="47">
        <v>13.977623499451679</v>
      </c>
      <c r="J13" s="47">
        <v>15.453913189906009</v>
      </c>
      <c r="K13" s="47">
        <v>21.609311999999999</v>
      </c>
      <c r="L13" s="47">
        <v>18.415495597796451</v>
      </c>
      <c r="M13" s="47">
        <v>1.720090430346205</v>
      </c>
      <c r="N13" s="47">
        <v>12.510602765198881</v>
      </c>
      <c r="O13" s="47">
        <v>18.95162453591821</v>
      </c>
      <c r="P13" s="47">
        <v>17.667091587113038</v>
      </c>
      <c r="Q13" s="19">
        <v>5.9929054744048298E-2</v>
      </c>
      <c r="R13" s="19">
        <v>7.27076634244741E-2</v>
      </c>
      <c r="S13" s="24">
        <v>2.532813561932953</v>
      </c>
      <c r="T13" s="19">
        <v>5.1555119272889652E-2</v>
      </c>
      <c r="U13" s="19">
        <v>2.1662763466042151E-2</v>
      </c>
    </row>
    <row r="14" spans="1:21" x14ac:dyDescent="0.35">
      <c r="A14" s="11" t="s">
        <v>214</v>
      </c>
      <c r="B14" s="11" t="s">
        <v>215</v>
      </c>
      <c r="C14" s="11" t="s">
        <v>207</v>
      </c>
      <c r="D14" s="18">
        <v>20605.314117067141</v>
      </c>
      <c r="E14" s="18">
        <v>24520.890069597041</v>
      </c>
      <c r="F14" s="19">
        <v>9.307200503091928E-2</v>
      </c>
      <c r="G14" s="19">
        <v>0.2034737183127292</v>
      </c>
      <c r="H14" s="47">
        <v>2.4667482803630039</v>
      </c>
      <c r="I14" s="47">
        <v>12.12317885974705</v>
      </c>
      <c r="J14" s="47">
        <v>14.46329489143602</v>
      </c>
      <c r="K14" s="47">
        <v>18.418130000000001</v>
      </c>
      <c r="L14" s="47">
        <v>15.70427395935269</v>
      </c>
      <c r="M14" s="47">
        <v>2.3152016924733969</v>
      </c>
      <c r="N14" s="47">
        <v>11.37838199287755</v>
      </c>
      <c r="O14" s="47">
        <v>17.278321564230492</v>
      </c>
      <c r="P14" s="47">
        <v>15.18974207955274</v>
      </c>
      <c r="Q14" s="19">
        <v>6.4522984930569516E-2</v>
      </c>
      <c r="R14" s="19">
        <v>0.13749933828627861</v>
      </c>
      <c r="S14" s="24">
        <v>1.142134511706218</v>
      </c>
      <c r="T14" s="19">
        <v>3.6515084730258392E-2</v>
      </c>
      <c r="U14" s="19">
        <v>4.1687594173782018E-2</v>
      </c>
    </row>
    <row r="15" spans="1:21" x14ac:dyDescent="0.35">
      <c r="A15" s="11" t="s">
        <v>216</v>
      </c>
      <c r="B15" s="11" t="s">
        <v>217</v>
      </c>
      <c r="C15" s="11" t="s">
        <v>207</v>
      </c>
      <c r="D15" s="18">
        <v>11287.972468386601</v>
      </c>
      <c r="E15" s="18">
        <v>10724.62857521624</v>
      </c>
      <c r="F15" s="19">
        <v>6.501521812647959E-2</v>
      </c>
      <c r="G15" s="19">
        <v>7.973660454353769E-2</v>
      </c>
      <c r="H15" s="47">
        <v>0.86547246096654273</v>
      </c>
      <c r="I15" s="47">
        <v>10.854142409512541</v>
      </c>
      <c r="J15" s="47">
        <v>13.684116110082909</v>
      </c>
      <c r="K15" s="47">
        <v>19.717949000000001</v>
      </c>
      <c r="L15" s="47">
        <v>16.229464150289271</v>
      </c>
      <c r="M15" s="47">
        <v>0.7672280729902472</v>
      </c>
      <c r="N15" s="47">
        <v>9.622030902649314</v>
      </c>
      <c r="O15" s="47">
        <v>17.2808988764045</v>
      </c>
      <c r="P15" s="47">
        <v>14.874274661508711</v>
      </c>
      <c r="Q15" s="19">
        <v>9.1674772807972982E-2</v>
      </c>
      <c r="R15" s="19">
        <v>0.1617977528089887</v>
      </c>
      <c r="S15" s="24">
        <v>1.003071048177602</v>
      </c>
      <c r="T15" s="19">
        <v>3.2307484501766411E-2</v>
      </c>
      <c r="U15" s="19">
        <v>2.3407022106631991E-2</v>
      </c>
    </row>
    <row r="17" spans="1:21" x14ac:dyDescent="0.35">
      <c r="A17" s="3" t="s">
        <v>218</v>
      </c>
      <c r="F17" s="48">
        <f t="shared" ref="F17:U17" si="0">IFERROR(AVERAGE(F5:F15),"")</f>
        <v>8.8545079900714488E-2</v>
      </c>
      <c r="G17" s="48">
        <f t="shared" si="0"/>
        <v>0.16678340802177519</v>
      </c>
      <c r="H17" s="49">
        <f t="shared" si="0"/>
        <v>2.0625723398364513</v>
      </c>
      <c r="I17" s="49">
        <f t="shared" si="0"/>
        <v>11.280580514593774</v>
      </c>
      <c r="J17" s="49">
        <f t="shared" si="0"/>
        <v>19.816204859878084</v>
      </c>
      <c r="K17" s="49">
        <f t="shared" si="0"/>
        <v>24.0749414</v>
      </c>
      <c r="L17" s="49">
        <f t="shared" si="0"/>
        <v>16.375739774230652</v>
      </c>
      <c r="M17" s="49">
        <f t="shared" si="0"/>
        <v>1.8941804775496494</v>
      </c>
      <c r="N17" s="49">
        <f t="shared" si="0"/>
        <v>10.161692838014602</v>
      </c>
      <c r="O17" s="49">
        <f t="shared" si="0"/>
        <v>18.770985750938586</v>
      </c>
      <c r="P17" s="49">
        <f t="shared" si="0"/>
        <v>15.586233970854961</v>
      </c>
      <c r="Q17" s="48">
        <f t="shared" si="0"/>
        <v>7.507727682367428E-2</v>
      </c>
      <c r="R17" s="48">
        <f t="shared" si="0"/>
        <v>0.26756593693657765</v>
      </c>
      <c r="S17" s="50">
        <f t="shared" si="0"/>
        <v>1.3747168150100695</v>
      </c>
      <c r="T17" s="48">
        <f t="shared" si="0"/>
        <v>4.1380164154218642E-2</v>
      </c>
      <c r="U17" s="48">
        <f t="shared" si="0"/>
        <v>4.2650662222125331E-2</v>
      </c>
    </row>
    <row r="18" spans="1:21" x14ac:dyDescent="0.35">
      <c r="A18" s="3" t="s">
        <v>219</v>
      </c>
      <c r="F18" s="40">
        <f t="shared" ref="F18:U18" si="1">IFERROR(MEDIAN(F5:F15),"")</f>
        <v>8.2191780821917915E-2</v>
      </c>
      <c r="G18" s="40">
        <f t="shared" si="1"/>
        <v>0.15654252093401869</v>
      </c>
      <c r="H18" s="51">
        <f t="shared" si="1"/>
        <v>1.9217920088766289</v>
      </c>
      <c r="I18" s="51">
        <f t="shared" si="1"/>
        <v>11.179537664933839</v>
      </c>
      <c r="J18" s="51">
        <f t="shared" si="1"/>
        <v>14.958604040671014</v>
      </c>
      <c r="K18" s="51">
        <f t="shared" si="1"/>
        <v>19.389491</v>
      </c>
      <c r="L18" s="51">
        <f t="shared" si="1"/>
        <v>15.70427395935269</v>
      </c>
      <c r="M18" s="51">
        <f t="shared" si="1"/>
        <v>1.720090430346205</v>
      </c>
      <c r="N18" s="51">
        <f t="shared" si="1"/>
        <v>10.403688259270623</v>
      </c>
      <c r="O18" s="51">
        <f t="shared" si="1"/>
        <v>17.278321564230492</v>
      </c>
      <c r="P18" s="51">
        <f t="shared" si="1"/>
        <v>14.2778983780731</v>
      </c>
      <c r="Q18" s="40">
        <f t="shared" si="1"/>
        <v>6.4522984930569516E-2</v>
      </c>
      <c r="R18" s="40">
        <f t="shared" si="1"/>
        <v>0.1617977528089887</v>
      </c>
      <c r="S18" s="45">
        <f t="shared" si="1"/>
        <v>1.0528402485419299</v>
      </c>
      <c r="T18" s="40">
        <f t="shared" si="1"/>
        <v>5.1555119272889652E-2</v>
      </c>
      <c r="U18" s="40">
        <f t="shared" si="1"/>
        <v>4.2097782209101424E-2</v>
      </c>
    </row>
    <row r="19" spans="1:21" x14ac:dyDescent="0.35">
      <c r="A19" s="3" t="s">
        <v>220</v>
      </c>
      <c r="F19" s="40">
        <f t="shared" ref="F19:U19" si="2">IFERROR(QUARTILE(F5:F15,1),"")</f>
        <v>5.3594446807734841E-2</v>
      </c>
      <c r="G19" s="40">
        <f t="shared" si="2"/>
        <v>0.10731833982135863</v>
      </c>
      <c r="H19" s="51">
        <f t="shared" si="2"/>
        <v>1.5336388380686699</v>
      </c>
      <c r="I19" s="51">
        <f t="shared" si="2"/>
        <v>10.250880726880739</v>
      </c>
      <c r="J19" s="51">
        <f t="shared" si="2"/>
        <v>13.333642533039527</v>
      </c>
      <c r="K19" s="51">
        <f t="shared" si="2"/>
        <v>16.63310375</v>
      </c>
      <c r="L19" s="51">
        <f t="shared" si="2"/>
        <v>13.037093129564335</v>
      </c>
      <c r="M19" s="51">
        <f t="shared" si="2"/>
        <v>1.3520379033325405</v>
      </c>
      <c r="N19" s="51">
        <f t="shared" si="2"/>
        <v>9.2464061028475637</v>
      </c>
      <c r="O19" s="51">
        <f t="shared" si="2"/>
        <v>14.587390113851965</v>
      </c>
      <c r="P19" s="51">
        <f t="shared" si="2"/>
        <v>12.49330002212662</v>
      </c>
      <c r="Q19" s="40">
        <f t="shared" si="2"/>
        <v>5.6827119191411035E-2</v>
      </c>
      <c r="R19" s="40">
        <f t="shared" si="2"/>
        <v>0.11684868713437066</v>
      </c>
      <c r="S19" s="45">
        <f t="shared" si="2"/>
        <v>0.56090143166228301</v>
      </c>
      <c r="T19" s="40">
        <f t="shared" si="2"/>
        <v>3.2394952366257487E-2</v>
      </c>
      <c r="U19" s="40">
        <f t="shared" si="2"/>
        <v>2.7977165123419499E-2</v>
      </c>
    </row>
    <row r="20" spans="1:21" x14ac:dyDescent="0.35">
      <c r="A20" s="3" t="s">
        <v>221</v>
      </c>
      <c r="F20" s="40">
        <f t="shared" ref="F20:U20" si="3">IFERROR(QUARTILE(F5:F15,3),"")</f>
        <v>0.13168915658725822</v>
      </c>
      <c r="G20" s="40">
        <f t="shared" si="3"/>
        <v>0.20817068527392885</v>
      </c>
      <c r="H20" s="51">
        <f t="shared" si="3"/>
        <v>2.3457121845320827</v>
      </c>
      <c r="I20" s="51">
        <f t="shared" si="3"/>
        <v>12.053014760543112</v>
      </c>
      <c r="J20" s="51">
        <f t="shared" si="3"/>
        <v>21.887396476842383</v>
      </c>
      <c r="K20" s="51">
        <f t="shared" si="3"/>
        <v>21.853146750000001</v>
      </c>
      <c r="L20" s="51">
        <f t="shared" si="3"/>
        <v>17.322479874042862</v>
      </c>
      <c r="M20" s="51">
        <f t="shared" si="3"/>
        <v>2.3561000372037739</v>
      </c>
      <c r="N20" s="51">
        <f t="shared" si="3"/>
        <v>11.264094137758415</v>
      </c>
      <c r="O20" s="51">
        <f t="shared" si="3"/>
        <v>20.558079954724086</v>
      </c>
      <c r="P20" s="51">
        <f t="shared" si="3"/>
        <v>16.428416833332889</v>
      </c>
      <c r="Q20" s="40">
        <f t="shared" si="3"/>
        <v>9.9893745672554393E-2</v>
      </c>
      <c r="R20" s="40">
        <f t="shared" si="3"/>
        <v>0.23302972824372742</v>
      </c>
      <c r="S20" s="45">
        <f t="shared" si="3"/>
        <v>1.8910352635206014</v>
      </c>
      <c r="T20" s="40">
        <f t="shared" si="3"/>
        <v>6.3525673001348176E-2</v>
      </c>
      <c r="U20" s="40">
        <f t="shared" si="3"/>
        <v>4.4029605387708531E-2</v>
      </c>
    </row>
    <row r="23" spans="1:21" x14ac:dyDescent="0.35">
      <c r="A23" s="9" t="s">
        <v>222</v>
      </c>
      <c r="D23" s="13" t="s">
        <v>223</v>
      </c>
      <c r="E23" s="14" t="s">
        <v>224</v>
      </c>
      <c r="F23" s="14" t="s">
        <v>225</v>
      </c>
      <c r="G23" s="14" t="s">
        <v>226</v>
      </c>
      <c r="H23" s="14" t="s">
        <v>164</v>
      </c>
    </row>
    <row r="24" spans="1:21" x14ac:dyDescent="0.35">
      <c r="A24" s="11" t="s">
        <v>227</v>
      </c>
      <c r="B24" s="29">
        <f>(Inputs!$B$5*Inputs!$B$6)*Inputs!$B$7</f>
        <v>8468.5061016000018</v>
      </c>
      <c r="D24" s="11" t="s">
        <v>180</v>
      </c>
      <c r="E24" s="30">
        <f>IF(B26&lt;=0,"n.m.",B25/B26)</f>
        <v>1.6906670388947931</v>
      </c>
      <c r="F24" s="30">
        <f>H18</f>
        <v>1.9217920088766289</v>
      </c>
      <c r="G24" s="41">
        <f>IF(B26&lt;=0,"",(H18*B26-Inputs!$B$8-Inputs!$B$9)/Inputs!$B$7/Inputs!$B$6)</f>
        <v>50.722356573363747</v>
      </c>
      <c r="H24" s="35">
        <f>IF(G24="","",G24/Inputs!$B$5-1)</f>
        <v>0.15409229973523875</v>
      </c>
    </row>
    <row r="25" spans="1:21" x14ac:dyDescent="0.35">
      <c r="A25" s="11" t="s">
        <v>141</v>
      </c>
      <c r="B25" s="29">
        <f>B24+Inputs!$B$8+Inputs!$B$9</f>
        <v>9545.5061016000018</v>
      </c>
      <c r="D25" s="11" t="s">
        <v>181</v>
      </c>
      <c r="E25" s="30">
        <f>IF(B27&lt;=0,"n.m.",B25/B27)</f>
        <v>10.203130901606299</v>
      </c>
      <c r="F25" s="30">
        <f>I18</f>
        <v>11.179537664933839</v>
      </c>
      <c r="G25" s="41">
        <f>IF(B27&lt;=0,"",(I18*B27-Inputs!$B$8-Inputs!$B$9)/Inputs!$B$7/Inputs!$B$6)</f>
        <v>48.690764201827527</v>
      </c>
      <c r="H25" s="35">
        <f>IF(G25="","",G25/Inputs!$B$5-1)</f>
        <v>0.10786721733395965</v>
      </c>
    </row>
    <row r="26" spans="1:21" x14ac:dyDescent="0.35">
      <c r="A26" s="11" t="s">
        <v>228</v>
      </c>
      <c r="B26" s="18">
        <v>5646</v>
      </c>
      <c r="D26" s="11" t="s">
        <v>182</v>
      </c>
      <c r="E26" s="30">
        <f>IF(B28&lt;=0,"n.m.",B25/B28)</f>
        <v>12.930501817360506</v>
      </c>
      <c r="F26" s="30">
        <f>J18</f>
        <v>14.958604040671014</v>
      </c>
      <c r="G26" s="41">
        <f>IF(B28&lt;=0,"",(J18*B28-Inputs!$B$8-Inputs!$B$9)/Inputs!$B$7/Inputs!$B$6)</f>
        <v>51.720080097050392</v>
      </c>
      <c r="H26" s="35">
        <f>IF(G26="","",G26/Inputs!$B$5-1)</f>
        <v>0.17679363133220449</v>
      </c>
    </row>
    <row r="27" spans="1:21" x14ac:dyDescent="0.35">
      <c r="A27" s="11" t="s">
        <v>229</v>
      </c>
      <c r="B27" s="18">
        <v>935.54676438555089</v>
      </c>
      <c r="D27" s="11" t="s">
        <v>183</v>
      </c>
      <c r="E27" s="30">
        <f>IF(B29&lt;=0,"n.m.",(Inputs!$B$5*Inputs!$B$6)/B29)</f>
        <v>16.839080459770116</v>
      </c>
      <c r="F27" s="30">
        <f>K18</f>
        <v>19.389491</v>
      </c>
      <c r="G27" s="41">
        <f>IF(B29&lt;=0,"",K18*B29/Inputs!$B$6)</f>
        <v>50.606571509999995</v>
      </c>
      <c r="H27" s="35">
        <f>IF(G27="","",G27/Inputs!$B$5-1)</f>
        <v>0.15145782730375412</v>
      </c>
    </row>
    <row r="28" spans="1:21" x14ac:dyDescent="0.35">
      <c r="A28" s="11" t="s">
        <v>230</v>
      </c>
      <c r="B28" s="18">
        <v>738.21621437647491</v>
      </c>
    </row>
    <row r="29" spans="1:21" x14ac:dyDescent="0.35">
      <c r="A29" s="11" t="s">
        <v>231</v>
      </c>
      <c r="B29" s="24">
        <v>2.61</v>
      </c>
    </row>
    <row r="31" spans="1:21" x14ac:dyDescent="0.35">
      <c r="A31" s="2" t="s">
        <v>232</v>
      </c>
    </row>
    <row r="33" spans="1:3" x14ac:dyDescent="0.35">
      <c r="A33" s="9" t="s">
        <v>233</v>
      </c>
    </row>
    <row r="34" spans="1:3" x14ac:dyDescent="0.35">
      <c r="A34" s="11" t="s">
        <v>234</v>
      </c>
      <c r="B34" s="24">
        <v>12.143936763708989</v>
      </c>
    </row>
    <row r="35" spans="1:3" x14ac:dyDescent="0.35">
      <c r="A35" s="11" t="s">
        <v>235</v>
      </c>
      <c r="B35" s="24">
        <v>-0.72391743988306079</v>
      </c>
    </row>
    <row r="36" spans="1:3" x14ac:dyDescent="0.35">
      <c r="A36" s="11" t="s">
        <v>236</v>
      </c>
      <c r="B36" s="24">
        <v>-4.3644550780395388</v>
      </c>
    </row>
    <row r="37" spans="1:3" x14ac:dyDescent="0.35">
      <c r="A37" s="11" t="s">
        <v>237</v>
      </c>
      <c r="B37" s="24">
        <v>6.2073875113655592E-2</v>
      </c>
    </row>
    <row r="38" spans="1:3" x14ac:dyDescent="0.35">
      <c r="A38" s="11" t="s">
        <v>238</v>
      </c>
      <c r="B38" s="24">
        <v>1.912745897425252</v>
      </c>
    </row>
    <row r="39" spans="1:3" x14ac:dyDescent="0.35">
      <c r="A39" s="11" t="s">
        <v>239</v>
      </c>
      <c r="B39" s="22">
        <v>10</v>
      </c>
    </row>
    <row r="40" spans="1:3" x14ac:dyDescent="0.35">
      <c r="A40" s="11" t="s">
        <v>240</v>
      </c>
      <c r="B40" s="19">
        <v>5.9949929230489703E-2</v>
      </c>
    </row>
    <row r="41" spans="1:3" x14ac:dyDescent="0.35">
      <c r="A41" s="11" t="s">
        <v>241</v>
      </c>
      <c r="B41" s="35">
        <f>IF(B26&gt;0,B27/B26,0)</f>
        <v>0.16570080842818827</v>
      </c>
    </row>
    <row r="42" spans="1:3" x14ac:dyDescent="0.35">
      <c r="A42" s="3" t="s">
        <v>242</v>
      </c>
      <c r="B42" s="51">
        <f>B34+B35*B40+B36*B41</f>
        <v>11.37734422963962</v>
      </c>
      <c r="C42" s="2" t="s">
        <v>243</v>
      </c>
    </row>
    <row r="43" spans="1:3" x14ac:dyDescent="0.35">
      <c r="A43" s="3" t="s">
        <v>244</v>
      </c>
      <c r="B43" s="45">
        <f>IF(B27&lt;=0,"",(B42*B27-Inputs!$B$8-Inputs!$B$9)/Inputs!$B$7/Inputs!$B$6)</f>
        <v>49.651177746739712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/>
  </sheetViews>
  <sheetFormatPr defaultRowHeight="14.5" x14ac:dyDescent="0.35"/>
  <cols>
    <col min="1" max="1" width="34" customWidth="1"/>
    <col min="2" max="4" width="12" customWidth="1"/>
  </cols>
  <sheetData>
    <row r="1" spans="1:4" ht="18" x14ac:dyDescent="0.4">
      <c r="A1" s="1" t="s">
        <v>245</v>
      </c>
    </row>
    <row r="2" spans="1:4" x14ac:dyDescent="0.35">
      <c r="A2" s="2" t="s">
        <v>246</v>
      </c>
    </row>
    <row r="4" spans="1:4" x14ac:dyDescent="0.35">
      <c r="A4" s="13" t="s">
        <v>247</v>
      </c>
      <c r="B4" s="14" t="s">
        <v>248</v>
      </c>
      <c r="C4" s="14" t="s">
        <v>249</v>
      </c>
      <c r="D4" s="14" t="s">
        <v>250</v>
      </c>
    </row>
    <row r="5" spans="1:4" x14ac:dyDescent="0.35">
      <c r="A5" s="11" t="s">
        <v>251</v>
      </c>
      <c r="B5" s="24">
        <v>34.950000000000003</v>
      </c>
      <c r="C5" s="24">
        <v>47.45</v>
      </c>
      <c r="D5" s="41">
        <f>IFERROR(C5-B5,"")</f>
        <v>12.5</v>
      </c>
    </row>
    <row r="6" spans="1:4" x14ac:dyDescent="0.35">
      <c r="A6" s="11" t="s">
        <v>252</v>
      </c>
      <c r="B6" s="41">
        <f>MIN(DCF!D40:F42)</f>
        <v>40.189010553590961</v>
      </c>
      <c r="C6" s="41">
        <f>MAX(DCF!D40:F42)</f>
        <v>50.196436784406664</v>
      </c>
      <c r="D6" s="41">
        <f>IFERROR(C6-B6,"")</f>
        <v>10.007426230815703</v>
      </c>
    </row>
    <row r="7" spans="1:4" x14ac:dyDescent="0.35">
      <c r="A7" s="11" t="s">
        <v>253</v>
      </c>
      <c r="B7" s="41">
        <f>(Peers!I19*Peers!B27-Inputs!$B$8-Inputs!$B$9)/Inputs!$B$7/Inputs!$B$6</f>
        <v>44.181840530818462</v>
      </c>
      <c r="C7" s="41">
        <f>(Peers!I20*Peers!B27-Inputs!$B$8-Inputs!$B$9)/Inputs!$B$7/Inputs!$B$6</f>
        <v>52.931772254525342</v>
      </c>
      <c r="D7" s="41">
        <f>IFERROR(C7-B7,"")</f>
        <v>8.7499317237068794</v>
      </c>
    </row>
    <row r="8" spans="1:4" x14ac:dyDescent="0.35">
      <c r="A8" s="11" t="s">
        <v>254</v>
      </c>
      <c r="B8" s="41">
        <f>(Peers!J19*Peers!B28-Inputs!$B$8-Inputs!$B$9)/Inputs!$B$7/Inputs!$B$6</f>
        <v>45.494515663562105</v>
      </c>
      <c r="C8" s="41">
        <f>(Peers!J20*Peers!B28-Inputs!$B$8-Inputs!$B$9)/Inputs!$B$7/Inputs!$B$6</f>
        <v>78.265720443033004</v>
      </c>
      <c r="D8" s="41">
        <f>IFERROR(C8-B8,"")</f>
        <v>32.771204779470899</v>
      </c>
    </row>
    <row r="9" spans="1:4" x14ac:dyDescent="0.35">
      <c r="A9" s="11" t="s">
        <v>255</v>
      </c>
      <c r="B9" s="41">
        <f>Peers!K19*Peers!B29/Inputs!$B$6</f>
        <v>43.412400787499998</v>
      </c>
      <c r="C9" s="41">
        <f>Peers!K20*Peers!B29/Inputs!$B$6</f>
        <v>57.036713017499999</v>
      </c>
      <c r="D9" s="41">
        <f>IFERROR(C9-B9,"")</f>
        <v>13.624312230000001</v>
      </c>
    </row>
    <row r="11" spans="1:4" x14ac:dyDescent="0.35">
      <c r="A11" s="11" t="s">
        <v>146</v>
      </c>
      <c r="B11" s="4">
        <f>Inputs!$B$5</f>
        <v>43.95</v>
      </c>
    </row>
    <row r="12" spans="1:4" x14ac:dyDescent="0.35">
      <c r="A12" s="11" t="s">
        <v>5</v>
      </c>
      <c r="B12" s="52">
        <f>DCF!$B$30</f>
        <v>47.5</v>
      </c>
    </row>
    <row r="13" spans="1:4" x14ac:dyDescent="0.35">
      <c r="A13" s="11" t="s">
        <v>8</v>
      </c>
      <c r="B13" s="53" t="str">
        <f>DCF!$B$33</f>
        <v>HOLD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/>
  </sheetViews>
  <sheetFormatPr defaultRowHeight="14.5" x14ac:dyDescent="0.35"/>
  <cols>
    <col min="1" max="1" width="62" customWidth="1"/>
    <col min="2" max="2" width="12" customWidth="1"/>
    <col min="3" max="3" width="60" customWidth="1"/>
  </cols>
  <sheetData>
    <row r="1" spans="1:3" ht="18" x14ac:dyDescent="0.4">
      <c r="A1" s="1" t="s">
        <v>256</v>
      </c>
    </row>
    <row r="2" spans="1:3" x14ac:dyDescent="0.35">
      <c r="A2" s="2" t="s">
        <v>257</v>
      </c>
    </row>
    <row r="4" spans="1:3" x14ac:dyDescent="0.35">
      <c r="A4" s="13" t="s">
        <v>258</v>
      </c>
      <c r="B4" s="14" t="s">
        <v>259</v>
      </c>
      <c r="C4" s="13" t="s">
        <v>260</v>
      </c>
    </row>
    <row r="5" spans="1:3" x14ac:dyDescent="0.35">
      <c r="A5" s="11" t="s">
        <v>261</v>
      </c>
      <c r="B5" s="54" t="b">
        <f>WACC!$B$17&gt;Inputs!$B$11</f>
        <v>1</v>
      </c>
      <c r="C5" s="2" t="s">
        <v>262</v>
      </c>
    </row>
    <row r="6" spans="1:3" x14ac:dyDescent="0.35">
      <c r="A6" s="11" t="s">
        <v>263</v>
      </c>
      <c r="B6" s="54" t="b">
        <f>ABS(DCF!B16-(DCF!B10+DCF!B15))&lt;0.01</f>
        <v>1</v>
      </c>
      <c r="C6" s="2" t="s">
        <v>264</v>
      </c>
    </row>
    <row r="7" spans="1:3" x14ac:dyDescent="0.35">
      <c r="A7" s="11" t="s">
        <v>265</v>
      </c>
      <c r="B7" s="54" t="b">
        <f>ABS(DCF!B19-(DCF!B16-Inputs!$B$8-Inputs!$B$9))&lt;0.01</f>
        <v>1</v>
      </c>
      <c r="C7" s="2" t="s">
        <v>266</v>
      </c>
    </row>
    <row r="8" spans="1:3" x14ac:dyDescent="0.35">
      <c r="A8" s="11" t="s">
        <v>267</v>
      </c>
      <c r="B8" s="54" t="b">
        <f>ABS(DCF!E41-DCF!B21)&lt;0.01</f>
        <v>1</v>
      </c>
      <c r="C8" s="2" t="s">
        <v>268</v>
      </c>
    </row>
    <row r="9" spans="1:3" x14ac:dyDescent="0.35">
      <c r="A9" s="11" t="s">
        <v>269</v>
      </c>
      <c r="B9" s="54" t="b">
        <f>ABS(Scenarios!I6-DCF!B21)&lt;0.01</f>
        <v>1</v>
      </c>
      <c r="C9" s="2" t="s">
        <v>270</v>
      </c>
    </row>
    <row r="10" spans="1:3" x14ac:dyDescent="0.35">
      <c r="A10" s="11" t="s">
        <v>271</v>
      </c>
      <c r="B10" s="54" t="b">
        <f>Forecast!B6=Historicals!E5</f>
        <v>1</v>
      </c>
      <c r="C10" s="2" t="s">
        <v>272</v>
      </c>
    </row>
    <row r="11" spans="1:3" x14ac:dyDescent="0.35">
      <c r="A11" s="11" t="s">
        <v>273</v>
      </c>
      <c r="B11" s="54" t="b">
        <f>ABS(WACC!B15+WACC!B16-1)&lt;0.000001</f>
        <v>1</v>
      </c>
      <c r="C11" s="2" t="s">
        <v>274</v>
      </c>
    </row>
    <row r="12" spans="1:3" x14ac:dyDescent="0.35">
      <c r="A12" s="11" t="s">
        <v>275</v>
      </c>
      <c r="B12" s="54" t="b">
        <f>ABS(Scenarios!B8-1)&lt;0.000001</f>
        <v>1</v>
      </c>
      <c r="C12" s="2" t="s">
        <v>276</v>
      </c>
    </row>
    <row r="13" spans="1:3" x14ac:dyDescent="0.35">
      <c r="A13" s="11" t="s">
        <v>277</v>
      </c>
      <c r="B13" s="54" t="b">
        <f>AND(Inputs!$B$5&gt;0,Inputs!$B$7&gt;0,Inputs!$B$6&gt;0)</f>
        <v>1</v>
      </c>
      <c r="C13" s="2" t="s">
        <v>278</v>
      </c>
    </row>
    <row r="14" spans="1:3" x14ac:dyDescent="0.35">
      <c r="A14" s="11" t="s">
        <v>279</v>
      </c>
      <c r="B14" s="54" t="b">
        <f>DCF!B24&lt;0.85</f>
        <v>1</v>
      </c>
      <c r="C14" s="2" t="s">
        <v>280</v>
      </c>
    </row>
    <row r="15" spans="1:3" x14ac:dyDescent="0.35">
      <c r="A15" s="11" t="s">
        <v>281</v>
      </c>
      <c r="B15" s="54" t="b">
        <f>SUMPRODUCT(--ISERROR(Forecast!B5:I20))+SUMPRODUCT(--ISERROR(DCF!B5:G33))+SUMPRODUCT(--ISERROR(Scenarios!B5:J8))=0</f>
        <v>1</v>
      </c>
      <c r="C15" s="2" t="s">
        <v>282</v>
      </c>
    </row>
    <row r="17" spans="1:2" x14ac:dyDescent="0.35">
      <c r="A17" s="3" t="s">
        <v>283</v>
      </c>
      <c r="B17" s="55" t="str">
        <f>IF(AND(B5:B15),"ALL OK","CHECK")</f>
        <v>ALL 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Inputs</vt:lpstr>
      <vt:lpstr>Historicals</vt:lpstr>
      <vt:lpstr>Forecast</vt:lpstr>
      <vt:lpstr>WACC</vt:lpstr>
      <vt:lpstr>DCF</vt:lpstr>
      <vt:lpstr>Scenarios</vt:lpstr>
      <vt:lpstr>Peers</vt:lpstr>
      <vt:lpstr>Football field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Schjelderup</cp:lastModifiedBy>
  <dcterms:created xsi:type="dcterms:W3CDTF">2026-09-23T12:57:13Z</dcterms:created>
  <dcterms:modified xsi:type="dcterms:W3CDTF">2026-09-23T12:57:17Z</dcterms:modified>
</cp:coreProperties>
</file>