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25ed27e3db279b7/Desktop/Private prosjekter/equity-research-engine/output/SATS.OL/"/>
    </mc:Choice>
  </mc:AlternateContent>
  <xr:revisionPtr revIDLastSave="0" documentId="11_9005BB08F01E95D1252EE94A2F723D209E79E72F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ver" sheetId="1" r:id="rId1"/>
    <sheet name="Inputs" sheetId="2" r:id="rId2"/>
    <sheet name="Historicals" sheetId="3" r:id="rId3"/>
    <sheet name="Forecast" sheetId="4" r:id="rId4"/>
    <sheet name="WACC" sheetId="5" r:id="rId5"/>
    <sheet name="DCF" sheetId="6" r:id="rId6"/>
    <sheet name="Scenarios" sheetId="7" r:id="rId7"/>
    <sheet name="Peers" sheetId="8" r:id="rId8"/>
    <sheet name="Football field" sheetId="9" r:id="rId9"/>
    <sheet name="Check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1" i="9"/>
  <c r="D5" i="9"/>
  <c r="B29" i="8"/>
  <c r="B9" i="9" s="1"/>
  <c r="E27" i="8"/>
  <c r="B27" i="8"/>
  <c r="B26" i="8"/>
  <c r="B24" i="8"/>
  <c r="B25" i="8" s="1"/>
  <c r="L20" i="8"/>
  <c r="K20" i="8"/>
  <c r="C9" i="9" s="1"/>
  <c r="J20" i="8"/>
  <c r="I20" i="8"/>
  <c r="H20" i="8"/>
  <c r="G20" i="8"/>
  <c r="F20" i="8"/>
  <c r="L19" i="8"/>
  <c r="K19" i="8"/>
  <c r="J19" i="8"/>
  <c r="I19" i="8"/>
  <c r="H19" i="8"/>
  <c r="G19" i="8"/>
  <c r="F19" i="8"/>
  <c r="L18" i="8"/>
  <c r="K18" i="8"/>
  <c r="F27" i="8" s="1"/>
  <c r="J18" i="8"/>
  <c r="F26" i="8" s="1"/>
  <c r="I18" i="8"/>
  <c r="F25" i="8" s="1"/>
  <c r="B15" i="1" s="1"/>
  <c r="H18" i="8"/>
  <c r="G18" i="8"/>
  <c r="F18" i="8"/>
  <c r="L17" i="8"/>
  <c r="K17" i="8"/>
  <c r="J17" i="8"/>
  <c r="I17" i="8"/>
  <c r="H17" i="8"/>
  <c r="G17" i="8"/>
  <c r="F17" i="8"/>
  <c r="H45" i="7"/>
  <c r="G45" i="7"/>
  <c r="F45" i="7"/>
  <c r="E45" i="7"/>
  <c r="D45" i="7"/>
  <c r="C45" i="7"/>
  <c r="B44" i="7"/>
  <c r="H43" i="7"/>
  <c r="G43" i="7"/>
  <c r="F43" i="7"/>
  <c r="E43" i="7"/>
  <c r="D43" i="7"/>
  <c r="C43" i="7"/>
  <c r="B42" i="7"/>
  <c r="H30" i="7"/>
  <c r="G30" i="7"/>
  <c r="F30" i="7"/>
  <c r="E30" i="7"/>
  <c r="D30" i="7"/>
  <c r="C30" i="7"/>
  <c r="B29" i="7"/>
  <c r="H28" i="7"/>
  <c r="G28" i="7"/>
  <c r="F28" i="7"/>
  <c r="E28" i="7"/>
  <c r="D28" i="7"/>
  <c r="C28" i="7"/>
  <c r="B27" i="7"/>
  <c r="H15" i="7"/>
  <c r="G15" i="7"/>
  <c r="F15" i="7"/>
  <c r="E15" i="7"/>
  <c r="D15" i="7"/>
  <c r="C15" i="7"/>
  <c r="H13" i="7"/>
  <c r="G13" i="7"/>
  <c r="F13" i="7"/>
  <c r="E13" i="7"/>
  <c r="D13" i="7"/>
  <c r="C13" i="7"/>
  <c r="B12" i="7"/>
  <c r="B8" i="7"/>
  <c r="B12" i="10" s="1"/>
  <c r="H7" i="7"/>
  <c r="H6" i="7"/>
  <c r="H5" i="7"/>
  <c r="A44" i="6"/>
  <c r="A43" i="6"/>
  <c r="A42" i="6"/>
  <c r="A41" i="6"/>
  <c r="A40" i="6"/>
  <c r="A39" i="6"/>
  <c r="A38" i="6"/>
  <c r="B28" i="6"/>
  <c r="B22" i="6"/>
  <c r="B20" i="6"/>
  <c r="B18" i="6"/>
  <c r="B17" i="6"/>
  <c r="B11" i="6"/>
  <c r="G6" i="6"/>
  <c r="F6" i="6"/>
  <c r="E6" i="6"/>
  <c r="D6" i="6"/>
  <c r="C6" i="6"/>
  <c r="B6" i="6"/>
  <c r="B16" i="5"/>
  <c r="B14" i="5"/>
  <c r="B13" i="5"/>
  <c r="B15" i="5" s="1"/>
  <c r="B11" i="10" s="1"/>
  <c r="B11" i="5"/>
  <c r="B10" i="5"/>
  <c r="B12" i="5" s="1"/>
  <c r="B8" i="5"/>
  <c r="B7" i="5"/>
  <c r="B6" i="5"/>
  <c r="B5" i="5"/>
  <c r="B9" i="5" s="1"/>
  <c r="B18" i="4"/>
  <c r="H17" i="4"/>
  <c r="I17" i="4" s="1"/>
  <c r="G17" i="4"/>
  <c r="F17" i="4"/>
  <c r="E17" i="4"/>
  <c r="D17" i="4"/>
  <c r="C17" i="4"/>
  <c r="B16" i="4"/>
  <c r="H15" i="4"/>
  <c r="I15" i="4" s="1"/>
  <c r="G15" i="4"/>
  <c r="F15" i="4"/>
  <c r="E15" i="4"/>
  <c r="D15" i="4"/>
  <c r="C15" i="4"/>
  <c r="H9" i="4"/>
  <c r="I9" i="4" s="1"/>
  <c r="G9" i="4"/>
  <c r="F9" i="4"/>
  <c r="E9" i="4"/>
  <c r="D9" i="4"/>
  <c r="C9" i="4"/>
  <c r="B8" i="4"/>
  <c r="B7" i="4" s="1"/>
  <c r="H7" i="4"/>
  <c r="I7" i="4" s="1"/>
  <c r="G7" i="4"/>
  <c r="F7" i="4"/>
  <c r="E7" i="4"/>
  <c r="D7" i="4"/>
  <c r="C7" i="4"/>
  <c r="B6" i="4"/>
  <c r="B10" i="10" s="1"/>
  <c r="I5" i="4"/>
  <c r="H5" i="4"/>
  <c r="G5" i="4"/>
  <c r="F5" i="4"/>
  <c r="E5" i="4"/>
  <c r="D5" i="4"/>
  <c r="C5" i="4"/>
  <c r="E28" i="3"/>
  <c r="C28" i="3"/>
  <c r="B28" i="3"/>
  <c r="E13" i="3"/>
  <c r="D13" i="3"/>
  <c r="C13" i="3"/>
  <c r="B13" i="3"/>
  <c r="D10" i="3"/>
  <c r="B10" i="3"/>
  <c r="E9" i="3"/>
  <c r="E10" i="3" s="1"/>
  <c r="D9" i="3"/>
  <c r="D28" i="3" s="1"/>
  <c r="C9" i="3"/>
  <c r="C10" i="3" s="1"/>
  <c r="B9" i="3"/>
  <c r="E6" i="3"/>
  <c r="D6" i="3"/>
  <c r="C6" i="3"/>
  <c r="B13" i="1"/>
  <c r="B4" i="1"/>
  <c r="D9" i="9" l="1"/>
  <c r="E24" i="8"/>
  <c r="C44" i="7"/>
  <c r="G27" i="8"/>
  <c r="H27" i="8" s="1"/>
  <c r="C29" i="7"/>
  <c r="B14" i="7"/>
  <c r="C14" i="7" s="1"/>
  <c r="B14" i="3"/>
  <c r="C14" i="3"/>
  <c r="C6" i="4"/>
  <c r="C18" i="4" s="1"/>
  <c r="D14" i="3"/>
  <c r="D17" i="3" s="1"/>
  <c r="D20" i="3" s="1"/>
  <c r="D21" i="3" s="1"/>
  <c r="B15" i="3"/>
  <c r="B17" i="3"/>
  <c r="B20" i="3" s="1"/>
  <c r="B21" i="3" s="1"/>
  <c r="C52" i="7"/>
  <c r="C46" i="7"/>
  <c r="C51" i="7"/>
  <c r="D44" i="7"/>
  <c r="C47" i="7"/>
  <c r="C17" i="3"/>
  <c r="C20" i="3" s="1"/>
  <c r="C21" i="3" s="1"/>
  <c r="C15" i="3"/>
  <c r="B7" i="9"/>
  <c r="G25" i="8"/>
  <c r="H25" i="8" s="1"/>
  <c r="E25" i="8"/>
  <c r="B14" i="1" s="1"/>
  <c r="B17" i="5"/>
  <c r="B27" i="6"/>
  <c r="C36" i="7"/>
  <c r="D29" i="7"/>
  <c r="C32" i="7"/>
  <c r="G24" i="8"/>
  <c r="H24" i="8" s="1"/>
  <c r="F24" i="8"/>
  <c r="B10" i="4"/>
  <c r="E14" i="3"/>
  <c r="C21" i="7"/>
  <c r="C17" i="7"/>
  <c r="C7" i="9"/>
  <c r="C16" i="7" l="1"/>
  <c r="C18" i="7" s="1"/>
  <c r="C19" i="7" s="1"/>
  <c r="C20" i="7" s="1"/>
  <c r="C23" i="7" s="1"/>
  <c r="C22" i="7"/>
  <c r="C31" i="7"/>
  <c r="C33" i="7" s="1"/>
  <c r="C37" i="7"/>
  <c r="D6" i="4"/>
  <c r="C10" i="4"/>
  <c r="C8" i="4"/>
  <c r="C11" i="4" s="1"/>
  <c r="C16" i="4"/>
  <c r="D15" i="3"/>
  <c r="D14" i="7"/>
  <c r="D22" i="7" s="1"/>
  <c r="C34" i="7"/>
  <c r="C35" i="7" s="1"/>
  <c r="C38" i="7" s="1"/>
  <c r="D52" i="7"/>
  <c r="D46" i="7"/>
  <c r="D47" i="7"/>
  <c r="E44" i="7"/>
  <c r="D51" i="7"/>
  <c r="D32" i="7"/>
  <c r="D36" i="7"/>
  <c r="E29" i="7"/>
  <c r="D31" i="7"/>
  <c r="D33" i="7" s="1"/>
  <c r="D37" i="7"/>
  <c r="C48" i="7"/>
  <c r="D8" i="4"/>
  <c r="D10" i="4"/>
  <c r="D16" i="4"/>
  <c r="E6" i="4"/>
  <c r="D18" i="4"/>
  <c r="G37" i="6"/>
  <c r="G7" i="6"/>
  <c r="F37" i="6"/>
  <c r="F7" i="6"/>
  <c r="E37" i="6"/>
  <c r="E7" i="6"/>
  <c r="B37" i="6"/>
  <c r="D37" i="6"/>
  <c r="D7" i="6"/>
  <c r="C37" i="6"/>
  <c r="C7" i="6"/>
  <c r="B7" i="6"/>
  <c r="G6" i="7"/>
  <c r="G7" i="7"/>
  <c r="B12" i="6"/>
  <c r="B5" i="10"/>
  <c r="H37" i="6"/>
  <c r="B12" i="1"/>
  <c r="G5" i="7"/>
  <c r="D21" i="7"/>
  <c r="D17" i="7"/>
  <c r="E14" i="7"/>
  <c r="D16" i="7"/>
  <c r="E17" i="3"/>
  <c r="E15" i="3"/>
  <c r="B28" i="8"/>
  <c r="B11" i="4"/>
  <c r="D7" i="9"/>
  <c r="D18" i="7" l="1"/>
  <c r="C13" i="4"/>
  <c r="C14" i="4" s="1"/>
  <c r="C19" i="4" s="1"/>
  <c r="C12" i="4"/>
  <c r="D11" i="4"/>
  <c r="C49" i="7"/>
  <c r="C50" i="7" s="1"/>
  <c r="C53" i="7" s="1"/>
  <c r="D19" i="7"/>
  <c r="D20" i="7" s="1"/>
  <c r="D23" i="7" s="1"/>
  <c r="E21" i="7"/>
  <c r="F14" i="7"/>
  <c r="E17" i="7"/>
  <c r="E22" i="7"/>
  <c r="E16" i="7"/>
  <c r="E18" i="7" s="1"/>
  <c r="D48" i="7"/>
  <c r="D12" i="4"/>
  <c r="D13" i="4"/>
  <c r="D14" i="4" s="1"/>
  <c r="D19" i="4" s="1"/>
  <c r="E36" i="7"/>
  <c r="F29" i="7"/>
  <c r="E32" i="7"/>
  <c r="E31" i="7"/>
  <c r="E37" i="7"/>
  <c r="E51" i="7"/>
  <c r="F44" i="7"/>
  <c r="E47" i="7"/>
  <c r="E46" i="7"/>
  <c r="E48" i="7" s="1"/>
  <c r="E52" i="7"/>
  <c r="D34" i="7"/>
  <c r="D35" i="7" s="1"/>
  <c r="D38" i="7" s="1"/>
  <c r="E10" i="4"/>
  <c r="E16" i="4"/>
  <c r="E18" i="4"/>
  <c r="F6" i="4"/>
  <c r="E8" i="4"/>
  <c r="G26" i="8"/>
  <c r="H26" i="8" s="1"/>
  <c r="E26" i="8"/>
  <c r="B8" i="9"/>
  <c r="C8" i="9"/>
  <c r="D8" i="9" s="1"/>
  <c r="B14" i="4"/>
  <c r="E20" i="3"/>
  <c r="E11" i="4" l="1"/>
  <c r="C20" i="4"/>
  <c r="B5" i="6"/>
  <c r="B8" i="6" s="1"/>
  <c r="E33" i="7"/>
  <c r="D49" i="7"/>
  <c r="D50" i="7" s="1"/>
  <c r="D53" i="7" s="1"/>
  <c r="E34" i="7"/>
  <c r="E35" i="7" s="1"/>
  <c r="E38" i="7" s="1"/>
  <c r="F21" i="7"/>
  <c r="G14" i="7"/>
  <c r="F17" i="7"/>
  <c r="F22" i="7"/>
  <c r="F16" i="7"/>
  <c r="F18" i="7" s="1"/>
  <c r="F36" i="7"/>
  <c r="F32" i="7"/>
  <c r="G29" i="7"/>
  <c r="F37" i="7"/>
  <c r="F31" i="7"/>
  <c r="F33" i="7" s="1"/>
  <c r="E20" i="7"/>
  <c r="E23" i="7" s="1"/>
  <c r="E19" i="7"/>
  <c r="E49" i="7"/>
  <c r="E50" i="7" s="1"/>
  <c r="E53" i="7" s="1"/>
  <c r="B19" i="4"/>
  <c r="E21" i="3"/>
  <c r="E12" i="4"/>
  <c r="E13" i="4"/>
  <c r="E14" i="4" s="1"/>
  <c r="E19" i="4" s="1"/>
  <c r="F51" i="7"/>
  <c r="G44" i="7"/>
  <c r="F47" i="7"/>
  <c r="F52" i="7"/>
  <c r="F46" i="7"/>
  <c r="F48" i="7" s="1"/>
  <c r="F16" i="4"/>
  <c r="G6" i="4"/>
  <c r="F18" i="4"/>
  <c r="F10" i="4"/>
  <c r="F8" i="4"/>
  <c r="D20" i="4"/>
  <c r="C5" i="6"/>
  <c r="D5" i="6" l="1"/>
  <c r="D8" i="6" s="1"/>
  <c r="E20" i="4"/>
  <c r="G10" i="4"/>
  <c r="G18" i="4"/>
  <c r="G16" i="4"/>
  <c r="H6" i="4"/>
  <c r="G8" i="4"/>
  <c r="G11" i="4" s="1"/>
  <c r="G36" i="7"/>
  <c r="H29" i="7"/>
  <c r="G32" i="7"/>
  <c r="G37" i="7"/>
  <c r="G31" i="7"/>
  <c r="F34" i="7"/>
  <c r="F35" i="7" s="1"/>
  <c r="F38" i="7" s="1"/>
  <c r="F49" i="7"/>
  <c r="F50" i="7" s="1"/>
  <c r="F53" i="7" s="1"/>
  <c r="F19" i="7"/>
  <c r="F20" i="7" s="1"/>
  <c r="F23" i="7" s="1"/>
  <c r="G51" i="7"/>
  <c r="H44" i="7"/>
  <c r="G47" i="7"/>
  <c r="G46" i="7"/>
  <c r="G48" i="7" s="1"/>
  <c r="G52" i="7"/>
  <c r="H14" i="7"/>
  <c r="G17" i="7"/>
  <c r="G16" i="7"/>
  <c r="G22" i="7"/>
  <c r="G21" i="7"/>
  <c r="C8" i="6"/>
  <c r="F11" i="4"/>
  <c r="H36" i="7" l="1"/>
  <c r="H32" i="7"/>
  <c r="H37" i="7"/>
  <c r="H31" i="7"/>
  <c r="H33" i="7" s="1"/>
  <c r="G12" i="4"/>
  <c r="G13" i="4"/>
  <c r="G14" i="4" s="1"/>
  <c r="G19" i="4" s="1"/>
  <c r="F12" i="4"/>
  <c r="F13" i="4"/>
  <c r="F14" i="4" s="1"/>
  <c r="F19" i="4" s="1"/>
  <c r="H16" i="7"/>
  <c r="H17" i="7"/>
  <c r="H22" i="7"/>
  <c r="H21" i="7"/>
  <c r="I6" i="4"/>
  <c r="H16" i="4"/>
  <c r="H10" i="4"/>
  <c r="H8" i="4"/>
  <c r="H18" i="4"/>
  <c r="H51" i="7"/>
  <c r="H47" i="7"/>
  <c r="H46" i="7"/>
  <c r="H48" i="7" s="1"/>
  <c r="H52" i="7"/>
  <c r="G33" i="7"/>
  <c r="G18" i="7"/>
  <c r="G49" i="7"/>
  <c r="G50" i="7" s="1"/>
  <c r="G53" i="7" s="1"/>
  <c r="E5" i="6" l="1"/>
  <c r="F20" i="4"/>
  <c r="F5" i="6"/>
  <c r="F8" i="6" s="1"/>
  <c r="G20" i="4"/>
  <c r="H18" i="7"/>
  <c r="G19" i="7"/>
  <c r="G20" i="7" s="1"/>
  <c r="G23" i="7" s="1"/>
  <c r="H49" i="7"/>
  <c r="H50" i="7" s="1"/>
  <c r="H53" i="7" s="1"/>
  <c r="B54" i="7" s="1"/>
  <c r="B55" i="7" s="1"/>
  <c r="I7" i="7" s="1"/>
  <c r="J7" i="7" s="1"/>
  <c r="I16" i="4"/>
  <c r="I10" i="4"/>
  <c r="I8" i="4"/>
  <c r="I11" i="4" s="1"/>
  <c r="I18" i="4"/>
  <c r="G34" i="7"/>
  <c r="G35" i="7" s="1"/>
  <c r="G38" i="7" s="1"/>
  <c r="H34" i="7"/>
  <c r="H35" i="7"/>
  <c r="H38" i="7" s="1"/>
  <c r="H11" i="4"/>
  <c r="H12" i="4" l="1"/>
  <c r="H13" i="4"/>
  <c r="H14" i="4" s="1"/>
  <c r="H19" i="4" s="1"/>
  <c r="B39" i="7"/>
  <c r="B40" i="7" s="1"/>
  <c r="I6" i="7" s="1"/>
  <c r="H19" i="7"/>
  <c r="H20" i="7" s="1"/>
  <c r="H23" i="7" s="1"/>
  <c r="B24" i="7" s="1"/>
  <c r="B25" i="7" s="1"/>
  <c r="I5" i="7" s="1"/>
  <c r="I13" i="4"/>
  <c r="I14" i="4" s="1"/>
  <c r="I19" i="4" s="1"/>
  <c r="I20" i="4" s="1"/>
  <c r="I12" i="4"/>
  <c r="E8" i="6"/>
  <c r="I8" i="7" l="1"/>
  <c r="J5" i="7"/>
  <c r="G5" i="6"/>
  <c r="H20" i="4"/>
  <c r="J6" i="7"/>
  <c r="G8" i="6" l="1"/>
  <c r="B10" i="6" s="1"/>
  <c r="B13" i="6"/>
  <c r="B14" i="6" s="1"/>
  <c r="E40" i="6"/>
  <c r="H43" i="6"/>
  <c r="B41" i="6"/>
  <c r="G40" i="6"/>
  <c r="D40" i="6"/>
  <c r="C39" i="6"/>
  <c r="H38" i="6"/>
  <c r="C44" i="6"/>
  <c r="C43" i="6"/>
  <c r="H39" i="6"/>
  <c r="B38" i="6"/>
  <c r="F41" i="6"/>
  <c r="E44" i="6"/>
  <c r="G43" i="6"/>
  <c r="H41" i="6"/>
  <c r="F39" i="6"/>
  <c r="C41" i="6"/>
  <c r="D38" i="6"/>
  <c r="G42" i="6"/>
  <c r="E39" i="6"/>
  <c r="G39" i="6"/>
  <c r="E38" i="6"/>
  <c r="E41" i="6"/>
  <c r="F43" i="6"/>
  <c r="E42" i="6"/>
  <c r="G44" i="6"/>
  <c r="F44" i="6"/>
  <c r="D39" i="6"/>
  <c r="D42" i="6"/>
  <c r="D41" i="6"/>
  <c r="B43" i="6"/>
  <c r="D44" i="6"/>
  <c r="B39" i="6"/>
  <c r="F40" i="6"/>
  <c r="B42" i="6"/>
  <c r="G41" i="6"/>
  <c r="E43" i="6"/>
  <c r="B40" i="6"/>
  <c r="C42" i="6"/>
  <c r="D43" i="6"/>
  <c r="C40" i="6"/>
  <c r="F38" i="6"/>
  <c r="B44" i="6"/>
  <c r="G38" i="6"/>
  <c r="F42" i="6"/>
  <c r="H42" i="6"/>
  <c r="H40" i="6"/>
  <c r="C38" i="6"/>
  <c r="H44" i="6"/>
  <c r="J8" i="7"/>
  <c r="B6" i="1"/>
  <c r="C6" i="9" l="1"/>
  <c r="D6" i="9" s="1"/>
  <c r="B6" i="9"/>
  <c r="B15" i="6"/>
  <c r="B25" i="6"/>
  <c r="B16" i="6"/>
  <c r="B19" i="6" l="1"/>
  <c r="B6" i="10"/>
  <c r="B24" i="6"/>
  <c r="B14" i="10" s="1"/>
  <c r="B21" i="6" l="1"/>
  <c r="B7" i="10"/>
  <c r="B5" i="1" l="1"/>
  <c r="B23" i="6"/>
  <c r="B26" i="6"/>
  <c r="B9" i="10"/>
  <c r="B8" i="10"/>
  <c r="B29" i="6" l="1"/>
  <c r="B30" i="6" s="1"/>
  <c r="B31" i="6" l="1"/>
  <c r="B8" i="1" s="1"/>
  <c r="B32" i="6"/>
  <c r="B12" i="9"/>
  <c r="B7" i="1"/>
  <c r="B9" i="1" l="1"/>
  <c r="B33" i="6"/>
  <c r="B13" i="9" l="1"/>
  <c r="B10" i="1"/>
  <c r="B15" i="10"/>
  <c r="B17" i="10" s="1"/>
  <c r="B11" i="1" s="1"/>
</calcChain>
</file>

<file path=xl/sharedStrings.xml><?xml version="1.0" encoding="utf-8"?>
<sst xmlns="http://schemas.openxmlformats.org/spreadsheetml/2006/main" count="387" uniqueCount="252">
  <si>
    <t>SATS ASA (SATS.OL) – valuation model</t>
  </si>
  <si>
    <t>Generated by Equity Research Engine on 2026-09-21</t>
  </si>
  <si>
    <t>Share price (NOK)</t>
  </si>
  <si>
    <t>DCF fair value per share (NOK)</t>
  </si>
  <si>
    <t>Probability-weighted scenario value (NOK)</t>
  </si>
  <si>
    <t>Target price (NOK)</t>
  </si>
  <si>
    <t>Upside to target price</t>
  </si>
  <si>
    <t>Expected total return</t>
  </si>
  <si>
    <t>Rating</t>
  </si>
  <si>
    <t>Model checks</t>
  </si>
  <si>
    <t>WACC</t>
  </si>
  <si>
    <t>Terminal growth</t>
  </si>
  <si>
    <t>EV/EBITDA (LTM)</t>
  </si>
  <si>
    <t>Peer median EV/EBITDA</t>
  </si>
  <si>
    <t>Legend</t>
  </si>
  <si>
    <t>Blue text = hard-coded input (edit these)</t>
  </si>
  <si>
    <t>Black text = formula</t>
  </si>
  <si>
    <t>Green text = link to another sheet</t>
  </si>
  <si>
    <t>Yellow fill = key assumption</t>
  </si>
  <si>
    <t>Sheets: Inputs -&gt; Historicals -&gt; Forecast -&gt; WACC -&gt; DCF -&gt; Peers -&gt; Football field</t>
  </si>
  <si>
    <t>Lease treatment: operating. Sources: Company reports, Yahoo Finance, Equity Research Engine estimates</t>
  </si>
  <si>
    <t>SATS ASA – model inputs</t>
  </si>
  <si>
    <t>All figures in NOKm unless stated. Blue = input, black = formula, green = link.</t>
  </si>
  <si>
    <t>Market data</t>
  </si>
  <si>
    <t>Value</t>
  </si>
  <si>
    <t>Source / note</t>
  </si>
  <si>
    <t>Yahoo Finance close</t>
  </si>
  <si>
    <t>FX: NOK per NOK</t>
  </si>
  <si>
    <t>1.0 when the company reports in its listing currency</t>
  </si>
  <si>
    <t>Shares outstanding (m)</t>
  </si>
  <si>
    <t>Yahoo Finance</t>
  </si>
  <si>
    <t>Net debt</t>
  </si>
  <si>
    <t>Latest balance sheet (ex leases)</t>
  </si>
  <si>
    <t>Minority interest</t>
  </si>
  <si>
    <t>Latest balance sheet</t>
  </si>
  <si>
    <t>Tax rate</t>
  </si>
  <si>
    <t>config</t>
  </si>
  <si>
    <t>Config</t>
  </si>
  <si>
    <t>Risk-free rate</t>
  </si>
  <si>
    <t>Equity risk premium</t>
  </si>
  <si>
    <t>Beta (adjusted)</t>
  </si>
  <si>
    <t>Yahoo Finance (5y monthly); regression vs OSEBX rejected (R2=0.02 &lt; 0.10), Blume-adjusted</t>
  </si>
  <si>
    <t>Size premium</t>
  </si>
  <si>
    <t>size premium from config</t>
  </si>
  <si>
    <t>Cost of debt (pre-tax)</t>
  </si>
  <si>
    <t>interest expense / average debt</t>
  </si>
  <si>
    <t>Gross debt for WACC weights</t>
  </si>
  <si>
    <t>Mid-year convention (1 = yes)</t>
  </si>
  <si>
    <t>Terminal method (1 = value driver)</t>
  </si>
  <si>
    <t>0 = Gordon growth on FCF; 1 = NOPAT x (1 - g/RONIC) / (WACC - g)</t>
  </si>
  <si>
    <t>RONIC (value driver only)</t>
  </si>
  <si>
    <t>Return on new invested capital</t>
  </si>
  <si>
    <t>Expected dividend per share (NOK)</t>
  </si>
  <si>
    <t>Last year's cash dividend per share</t>
  </si>
  <si>
    <t>Roll-forward months</t>
  </si>
  <si>
    <t>12 = twelve-month target price; 0 = fair value today</t>
  </si>
  <si>
    <t>Target price rounding</t>
  </si>
  <si>
    <t>Weight on DCF in fair value</t>
  </si>
  <si>
    <t>1 = pure DCF (tp_method: dcf); below 1 blends in the peer-multiple value</t>
  </si>
  <si>
    <t>Peer-multiple value per share (NOK)</t>
  </si>
  <si>
    <t>Median of the multiple-implied values (engine)</t>
  </si>
  <si>
    <t>BUY threshold (total return)</t>
  </si>
  <si>
    <t>SELL threshold (total return)</t>
  </si>
  <si>
    <t>Forecast drivers</t>
  </si>
  <si>
    <t>2026E</t>
  </si>
  <si>
    <t>2027E</t>
  </si>
  <si>
    <t>2028E</t>
  </si>
  <si>
    <t>2029E</t>
  </si>
  <si>
    <t>2030E</t>
  </si>
  <si>
    <t>2031E</t>
  </si>
  <si>
    <t>Revenue growth</t>
  </si>
  <si>
    <t>EBITDA margin</t>
  </si>
  <si>
    <t>D&amp;A % of revenue</t>
  </si>
  <si>
    <t>Capex % of revenue</t>
  </si>
  <si>
    <t>Net working capital % of revenue</t>
  </si>
  <si>
    <t>Notes: Revenue growth anchored on consensus (5 analysts), fading linearly to 1.5% terminal growth. EBITDA margin moves linearly from 16.7% to 18.0%. Net working capital held at -15.1% of revenue (3-year average from the balance sheet). Capex normalises from 4.9% to 4.8% of revenue (D&amp;A x 1.05) by 2031E.</t>
  </si>
  <si>
    <t>Lease treatment: operating (lease rate 4.50%). Growth anchor: consensus (5 analysts).</t>
  </si>
  <si>
    <t>SATS ASA – historical financials (NOKm)</t>
  </si>
  <si>
    <t>Source: company reports via Yahoo Finance; lease adjustments per methodology.</t>
  </si>
  <si>
    <t>NOKm</t>
  </si>
  <si>
    <t>2022A</t>
  </si>
  <si>
    <t>2023A</t>
  </si>
  <si>
    <t>2024A</t>
  </si>
  <si>
    <t>2025A</t>
  </si>
  <si>
    <t>Revenue</t>
  </si>
  <si>
    <t>Growth</t>
  </si>
  <si>
    <t>EBITDA (reported)</t>
  </si>
  <si>
    <t>Lease cost (rent)</t>
  </si>
  <si>
    <t>EBITDA</t>
  </si>
  <si>
    <t>D&amp;A (reported)</t>
  </si>
  <si>
    <t>Right-of-use depreciation</t>
  </si>
  <si>
    <t>D&amp;A</t>
  </si>
  <si>
    <t>EBIT</t>
  </si>
  <si>
    <t>EBIT margin</t>
  </si>
  <si>
    <t>Tax rate (effective, used)</t>
  </si>
  <si>
    <t>NOPAT</t>
  </si>
  <si>
    <t>Capex</t>
  </si>
  <si>
    <t>Change in NWC</t>
  </si>
  <si>
    <t>Unlevered FCF</t>
  </si>
  <si>
    <t>FCF margin</t>
  </si>
  <si>
    <t>Net income</t>
  </si>
  <si>
    <t>Diluted EPS</t>
  </si>
  <si>
    <t>Cash</t>
  </si>
  <si>
    <t>Total debt (incl. leases)</t>
  </si>
  <si>
    <t>Lease liabilities</t>
  </si>
  <si>
    <t>Net debt (model basis)</t>
  </si>
  <si>
    <t>Net debt / EBITDA</t>
  </si>
  <si>
    <t>Interest expense (ex leases)</t>
  </si>
  <si>
    <t>SATS ASA – forecast (NOKm)</t>
  </si>
  <si>
    <t>Formulas reference the Inputs sheet; last actual year is linked from Historicals.</t>
  </si>
  <si>
    <t>Terminal</t>
  </si>
  <si>
    <t>Tax</t>
  </si>
  <si>
    <t>Cost of capital</t>
  </si>
  <si>
    <t>CAPM cost of equity, after-tax cost of debt, market-value weights.</t>
  </si>
  <si>
    <t>Component</t>
  </si>
  <si>
    <t>Cost of equity</t>
  </si>
  <si>
    <t>Cost of debt (after tax)</t>
  </si>
  <si>
    <t>Equity value (market cap)</t>
  </si>
  <si>
    <t>Debt value</t>
  </si>
  <si>
    <t>Weight of equity</t>
  </si>
  <si>
    <t>Weight of debt</t>
  </si>
  <si>
    <t>SATS ASA – DCF valuation (NOKm)</t>
  </si>
  <si>
    <t>Unlevered FCF discounted at WACC; Gordon growth terminal value.</t>
  </si>
  <si>
    <t>Year</t>
  </si>
  <si>
    <t>Discount period (years)</t>
  </si>
  <si>
    <t>Discount factor</t>
  </si>
  <si>
    <t>PV of FCF</t>
  </si>
  <si>
    <t>Sum of PV of FCF</t>
  </si>
  <si>
    <t>Terminal cash flow (year N+1)</t>
  </si>
  <si>
    <t>Terminal value</t>
  </si>
  <si>
    <t>PV of terminal value</t>
  </si>
  <si>
    <t>Enterprise value</t>
  </si>
  <si>
    <t>Less: net debt</t>
  </si>
  <si>
    <t>Less: minority interest</t>
  </si>
  <si>
    <t>Equity value</t>
  </si>
  <si>
    <t>Fair value per share, DCF (NOK)</t>
  </si>
  <si>
    <t>Current share price (NOK)</t>
  </si>
  <si>
    <t>Upside / (downside) to fair value</t>
  </si>
  <si>
    <t>Terminal value as % of EV</t>
  </si>
  <si>
    <t>Implied exit EV/EBITDA</t>
  </si>
  <si>
    <t>Fair value used for the target price</t>
  </si>
  <si>
    <t>Target price before rounding</t>
  </si>
  <si>
    <t>Expected total return (incl. dividend)</t>
  </si>
  <si>
    <t>Sensitivity: value per share (rows = terminal growth, columns = WACC)</t>
  </si>
  <si>
    <t>g \ WACC</t>
  </si>
  <si>
    <t>Scenario analysis</t>
  </si>
  <si>
    <t>Shifts are additive to the base case (Inputs sheet). Edit the blue cells; every scenario re-runs the full forecast.</t>
  </si>
  <si>
    <t>Scenario</t>
  </si>
  <si>
    <t>Probability</t>
  </si>
  <si>
    <t>Growth shift</t>
  </si>
  <si>
    <t>Margin shift</t>
  </si>
  <si>
    <t>WACC shift</t>
  </si>
  <si>
    <t>Terminal g shift</t>
  </si>
  <si>
    <t>Value per share (NOK)</t>
  </si>
  <si>
    <t>vs price</t>
  </si>
  <si>
    <t>Bear</t>
  </si>
  <si>
    <t>Base</t>
  </si>
  <si>
    <t>Bull</t>
  </si>
  <si>
    <t>Probability-weighted</t>
  </si>
  <si>
    <t>Bear case (NOKm)</t>
  </si>
  <si>
    <t>Base case (NOKm)</t>
  </si>
  <si>
    <t>Bull case (NOKm)</t>
  </si>
  <si>
    <t>Peer multiples</t>
  </si>
  <si>
    <t>Multiples computed from last reported fiscal year; EV on the same lease basis as the target company.</t>
  </si>
  <si>
    <t>Company</t>
  </si>
  <si>
    <t>Ticker</t>
  </si>
  <si>
    <t>Group</t>
  </si>
  <si>
    <t>Market cap (NOKm)</t>
  </si>
  <si>
    <t>EV (NOKm)</t>
  </si>
  <si>
    <t>Rev. growth</t>
  </si>
  <si>
    <t>EV/Sales</t>
  </si>
  <si>
    <t>EV/EBITDA</t>
  </si>
  <si>
    <t>EV/EBIT</t>
  </si>
  <si>
    <t>P/E</t>
  </si>
  <si>
    <t>P/E (fwd)</t>
  </si>
  <si>
    <t>Basic-Fit</t>
  </si>
  <si>
    <t>BFIT.AS</t>
  </si>
  <si>
    <t>Global fitness</t>
  </si>
  <si>
    <t>Planet Fitness</t>
  </si>
  <si>
    <t>PLNT</t>
  </si>
  <si>
    <t>Life Time Group</t>
  </si>
  <si>
    <t>LTH</t>
  </si>
  <si>
    <t>The Gym Group</t>
  </si>
  <si>
    <t>GYM.L</t>
  </si>
  <si>
    <t>Xponential Fitness</t>
  </si>
  <si>
    <t>XPOF</t>
  </si>
  <si>
    <t>Europris</t>
  </si>
  <si>
    <t>EPR.OL</t>
  </si>
  <si>
    <t>Nordic consumer</t>
  </si>
  <si>
    <t>Kid</t>
  </si>
  <si>
    <t>KID.OL</t>
  </si>
  <si>
    <t>Orkla</t>
  </si>
  <si>
    <t>ORK.OL</t>
  </si>
  <si>
    <t>Clas Ohlson</t>
  </si>
  <si>
    <t>CLAS-B.ST</t>
  </si>
  <si>
    <t>Thule Group</t>
  </si>
  <si>
    <t>THULE.ST</t>
  </si>
  <si>
    <t>Rusta</t>
  </si>
  <si>
    <t>RUSTA.ST</t>
  </si>
  <si>
    <t>Average</t>
  </si>
  <si>
    <t>Median</t>
  </si>
  <si>
    <t>25th percentile</t>
  </si>
  <si>
    <t>75th percentile</t>
  </si>
  <si>
    <t>SATS – current multiples and implied value</t>
  </si>
  <si>
    <t>Multiple</t>
  </si>
  <si>
    <t>SATS</t>
  </si>
  <si>
    <t>Peer median</t>
  </si>
  <si>
    <t>Implied value/share (NOK)</t>
  </si>
  <si>
    <t>Market cap</t>
  </si>
  <si>
    <t>LTM revenue</t>
  </si>
  <si>
    <t>LTM EBITDA</t>
  </si>
  <si>
    <t>LTM EBIT</t>
  </si>
  <si>
    <t>LTM EPS</t>
  </si>
  <si>
    <t>Valuation summary</t>
  </si>
  <si>
    <t>Ranges feed the football-field chart; DCF range = inner 3x3 of the sensitivity grid.</t>
  </si>
  <si>
    <t>Method</t>
  </si>
  <si>
    <t>Low</t>
  </si>
  <si>
    <t>High</t>
  </si>
  <si>
    <t>Range</t>
  </si>
  <si>
    <t>52-week range</t>
  </si>
  <si>
    <t>DCF (WACC ±0.5%, g ±0.25%)</t>
  </si>
  <si>
    <t>EV/EBITDA (peer 25th–75th pct)</t>
  </si>
  <si>
    <t>EV/EBIT (peer 25th–75th pct)</t>
  </si>
  <si>
    <t>P/E (peer 25th–75th pct)</t>
  </si>
  <si>
    <t>Model integrity checks</t>
  </si>
  <si>
    <t>Every check must read TRUE. A FALSE means an input or formula has been broken.</t>
  </si>
  <si>
    <t>Check</t>
  </si>
  <si>
    <t>Result</t>
  </si>
  <si>
    <t>What it protects against</t>
  </si>
  <si>
    <t>WACC exceeds terminal growth</t>
  </si>
  <si>
    <t>A perpetuity needs WACC &gt; g</t>
  </si>
  <si>
    <t>Enterprise value = PV of FCF + PV of terminal value</t>
  </si>
  <si>
    <t>Broken bridge formulas</t>
  </si>
  <si>
    <t>Equity value = EV - net debt - minorities</t>
  </si>
  <si>
    <t>Sign errors in the bridge</t>
  </si>
  <si>
    <t>Sensitivity centre equals the DCF fair value</t>
  </si>
  <si>
    <t>Sensitivity grid out of sync with the model</t>
  </si>
  <si>
    <t>Base scenario reproduces the DCF fair value</t>
  </si>
  <si>
    <t>Scenario blocks drifting from the forecast</t>
  </si>
  <si>
    <t>Forecast starts from the last reported revenue</t>
  </si>
  <si>
    <t>Stale links</t>
  </si>
  <si>
    <t>Capital structure weights sum to 100%</t>
  </si>
  <si>
    <t>WACC weights</t>
  </si>
  <si>
    <t>Scenario probabilities sum to 100%</t>
  </si>
  <si>
    <t>Probability-weighted value</t>
  </si>
  <si>
    <t>Share price, shares and FX are positive</t>
  </si>
  <si>
    <t>Missing market data</t>
  </si>
  <si>
    <t>Terminal value below 85% of enterprise value</t>
  </si>
  <si>
    <t>Valuation resting almost entirely on the perpetuity</t>
  </si>
  <si>
    <t>No error values in Forecast, DCF or Scenarios</t>
  </si>
  <si>
    <t>#REF!, #DIV/0! and friends</t>
  </si>
  <si>
    <t>Overall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</si>
</sst>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(#,##0.00\);&quot;-&quot;"/>
    <numFmt numFmtId="165" formatCode="0.0000"/>
    <numFmt numFmtId="166" formatCode="#,##0.0;\(#,##0.0\);&quot;-&quot;"/>
    <numFmt numFmtId="167" formatCode="#,##0;\(#,##0\);&quot;-&quot;"/>
    <numFmt numFmtId="168" formatCode="0.0%"/>
    <numFmt numFmtId="169" formatCode="0.0&quot;x&quot;"/>
    <numFmt numFmtId="170" formatCode="0.000"/>
  </numFmts>
  <fonts count="12" x14ac:knownFonts="1">
    <font>
      <sz val="11"/>
      <color theme="1"/>
      <name val="Calibri"/>
      <family val="2"/>
      <scheme val="minor"/>
    </font>
    <font>
      <b/>
      <sz val="14"/>
      <color rgb="FF003255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9"/>
      <color rgb="FF000000"/>
      <name val="Arial"/>
    </font>
    <font>
      <sz val="9"/>
      <color rgb="FF0000FF"/>
      <name val="Arial"/>
    </font>
    <font>
      <b/>
      <sz val="9"/>
      <color rgb="FF000000"/>
      <name val="Arial"/>
    </font>
    <font>
      <i/>
      <sz val="9"/>
      <color rgb="FF000000"/>
      <name val="Arial"/>
    </font>
    <font>
      <sz val="9"/>
      <color rgb="FF008000"/>
      <name val="Arial"/>
    </font>
    <font>
      <i/>
      <sz val="9"/>
      <color rgb="FF008000"/>
      <name val="Arial"/>
    </font>
    <font>
      <b/>
      <sz val="9"/>
      <color rgb="FF008000"/>
      <name val="Arial"/>
    </font>
    <font>
      <b/>
      <sz val="9"/>
      <color rgb="FF003255"/>
      <name val="Arial"/>
    </font>
  </fonts>
  <fills count="5">
    <fill>
      <patternFill patternType="none"/>
    </fill>
    <fill>
      <patternFill patternType="gray125"/>
    </fill>
    <fill>
      <patternFill patternType="solid">
        <fgColor rgb="FF003255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164" fontId="8" fillId="0" borderId="0" xfId="0" applyNumberFormat="1" applyFont="1"/>
    <xf numFmtId="168" fontId="8" fillId="0" borderId="0" xfId="0" applyNumberFormat="1" applyFont="1"/>
    <xf numFmtId="0" fontId="8" fillId="0" borderId="0" xfId="0" applyFont="1"/>
    <xf numFmtId="10" fontId="8" fillId="0" borderId="0" xfId="0" applyNumberFormat="1" applyFont="1"/>
    <xf numFmtId="169" fontId="8" fillId="0" borderId="0" xfId="0" applyNumberFormat="1" applyFont="1"/>
    <xf numFmtId="0" fontId="11" fillId="0" borderId="0" xfId="0" applyFont="1"/>
    <xf numFmtId="0" fontId="5" fillId="0" borderId="0" xfId="0" applyFont="1"/>
    <xf numFmtId="0" fontId="4" fillId="0" borderId="0" xfId="0" applyFont="1"/>
    <xf numFmtId="0" fontId="4" fillId="3" borderId="0" xfId="0" applyFont="1" applyFill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5" fillId="3" borderId="0" xfId="0" applyNumberFormat="1" applyFont="1" applyFill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0" fontId="5" fillId="3" borderId="0" xfId="0" applyNumberFormat="1" applyFont="1" applyFill="1"/>
    <xf numFmtId="10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8" fontId="5" fillId="3" borderId="0" xfId="0" applyNumberFormat="1" applyFont="1" applyFill="1"/>
    <xf numFmtId="0" fontId="7" fillId="0" borderId="0" xfId="0" applyFont="1"/>
    <xf numFmtId="168" fontId="7" fillId="0" borderId="0" xfId="0" applyNumberFormat="1" applyFont="1"/>
    <xf numFmtId="167" fontId="6" fillId="0" borderId="0" xfId="0" applyNumberFormat="1" applyFont="1"/>
    <xf numFmtId="167" fontId="4" fillId="0" borderId="0" xfId="0" applyNumberFormat="1" applyFont="1"/>
    <xf numFmtId="169" fontId="4" fillId="0" borderId="0" xfId="0" applyNumberFormat="1" applyFont="1"/>
    <xf numFmtId="168" fontId="9" fillId="0" borderId="0" xfId="0" applyNumberFormat="1" applyFont="1"/>
    <xf numFmtId="167" fontId="8" fillId="0" borderId="0" xfId="0" applyNumberFormat="1" applyFont="1"/>
    <xf numFmtId="10" fontId="6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167" fontId="10" fillId="0" borderId="0" xfId="0" applyNumberFormat="1" applyFont="1"/>
    <xf numFmtId="166" fontId="4" fillId="0" borderId="0" xfId="0" applyNumberFormat="1" applyFont="1"/>
    <xf numFmtId="170" fontId="4" fillId="0" borderId="0" xfId="0" applyNumberFormat="1" applyFont="1"/>
    <xf numFmtId="166" fontId="8" fillId="0" borderId="0" xfId="0" applyNumberFormat="1" applyFont="1"/>
    <xf numFmtId="164" fontId="6" fillId="3" borderId="0" xfId="0" applyNumberFormat="1" applyFont="1" applyFill="1"/>
    <xf numFmtId="168" fontId="6" fillId="0" borderId="0" xfId="0" applyNumberFormat="1" applyFont="1"/>
    <xf numFmtId="164" fontId="4" fillId="0" borderId="0" xfId="0" applyNumberFormat="1" applyFont="1"/>
    <xf numFmtId="10" fontId="6" fillId="4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6" fillId="3" borderId="0" xfId="0" applyNumberFormat="1" applyFont="1" applyFill="1" applyAlignment="1">
      <alignment horizontal="center" vertical="center"/>
    </xf>
    <xf numFmtId="164" fontId="6" fillId="0" borderId="0" xfId="0" applyNumberFormat="1" applyFont="1"/>
    <xf numFmtId="0" fontId="10" fillId="0" borderId="0" xfId="0" applyFont="1" applyAlignment="1">
      <alignment horizontal="center" vertical="center"/>
    </xf>
    <xf numFmtId="169" fontId="5" fillId="0" borderId="0" xfId="0" applyNumberFormat="1" applyFont="1"/>
    <xf numFmtId="168" fontId="6" fillId="0" borderId="1" xfId="0" applyNumberFormat="1" applyFont="1" applyBorder="1"/>
    <xf numFmtId="169" fontId="6" fillId="0" borderId="1" xfId="0" applyNumberFormat="1" applyFont="1" applyBorder="1"/>
    <xf numFmtId="169" fontId="6" fillId="0" borderId="0" xfId="0" applyNumberFormat="1" applyFont="1"/>
    <xf numFmtId="164" fontId="8" fillId="3" borderId="0" xfId="0" applyNumberFormat="1" applyFont="1" applyFill="1"/>
    <xf numFmtId="0" fontId="10" fillId="0" borderId="0" xfId="0" applyFont="1"/>
    <xf numFmtId="0" fontId="6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t>Football field (value per share)</a:t>
            </a:r>
          </a:p>
        </c:rich>
      </c:tx>
      <c:overlay val="1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'Football field'!$B$4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field'!$B$5:$B$9</c:f>
              <c:numCache>
                <c:formatCode>#,##0.00;\(#,##0.00\);"-"</c:formatCode>
                <c:ptCount val="5"/>
                <c:pt idx="0">
                  <c:v>34.950000000000003</c:v>
                </c:pt>
                <c:pt idx="1">
                  <c:v>39.315442068435722</c:v>
                </c:pt>
                <c:pt idx="2">
                  <c:v>45.829135503272333</c:v>
                </c:pt>
                <c:pt idx="3">
                  <c:v>48.497761522245732</c:v>
                </c:pt>
                <c:pt idx="4">
                  <c:v>40.987528919999995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9-4B68-8795-EE96EF2830F8}"/>
            </c:ext>
          </c:extLst>
        </c:ser>
        <c:ser>
          <c:idx val="1"/>
          <c:order val="1"/>
          <c:tx>
            <c:strRef>
              <c:f>'Football field'!$D$4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003255"/>
            </a:solidFill>
            <a:ln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field'!$D$5:$D$9</c:f>
              <c:numCache>
                <c:formatCode>#,##0.00;\(#,##0.00\);"-"</c:formatCode>
                <c:ptCount val="5"/>
                <c:pt idx="0">
                  <c:v>12.5</c:v>
                </c:pt>
                <c:pt idx="1">
                  <c:v>9.7399408621933787</c:v>
                </c:pt>
                <c:pt idx="2">
                  <c:v>7.9167638394900237</c:v>
                </c:pt>
                <c:pt idx="3">
                  <c:v>39.515880210774561</c:v>
                </c:pt>
                <c:pt idx="4">
                  <c:v>11.390217344999996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C09-4B68-8795-EE96EF283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;\(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/>
  </sheetViews>
  <sheetFormatPr defaultRowHeight="14.5" x14ac:dyDescent="0.35"/>
  <cols>
    <col min="1" max="1" width="30" customWidth="1"/>
    <col min="2" max="2" width="18" customWidth="1"/>
    <col min="3" max="3" width="60" customWidth="1"/>
  </cols>
  <sheetData>
    <row r="1" spans="1:2" ht="18" x14ac:dyDescent="0.4">
      <c r="A1" s="1" t="s">
        <v>0</v>
      </c>
    </row>
    <row r="2" spans="1:2" x14ac:dyDescent="0.35">
      <c r="A2" s="2" t="s">
        <v>1</v>
      </c>
    </row>
    <row r="4" spans="1:2" x14ac:dyDescent="0.35">
      <c r="A4" s="3" t="s">
        <v>2</v>
      </c>
      <c r="B4" s="4">
        <f>Inputs!$B$5</f>
        <v>44.35</v>
      </c>
    </row>
    <row r="5" spans="1:2" x14ac:dyDescent="0.35">
      <c r="A5" s="3" t="s">
        <v>3</v>
      </c>
      <c r="B5" s="4">
        <f>DCF!B21</f>
        <v>43.670409422935627</v>
      </c>
    </row>
    <row r="6" spans="1:2" x14ac:dyDescent="0.35">
      <c r="A6" s="3" t="s">
        <v>4</v>
      </c>
      <c r="B6" s="4">
        <f>Scenarios!$I$8</f>
        <v>45.169051093197041</v>
      </c>
    </row>
    <row r="7" spans="1:2" x14ac:dyDescent="0.35">
      <c r="A7" s="3" t="s">
        <v>5</v>
      </c>
      <c r="B7" s="4">
        <f>DCF!B30</f>
        <v>47</v>
      </c>
    </row>
    <row r="8" spans="1:2" x14ac:dyDescent="0.35">
      <c r="A8" s="3" t="s">
        <v>6</v>
      </c>
      <c r="B8" s="5">
        <f>DCF!B31</f>
        <v>5.9751972942502896E-2</v>
      </c>
    </row>
    <row r="9" spans="1:2" x14ac:dyDescent="0.35">
      <c r="A9" s="3" t="s">
        <v>7</v>
      </c>
      <c r="B9" s="5">
        <f>DCF!B32</f>
        <v>7.4565609782273112E-2</v>
      </c>
    </row>
    <row r="10" spans="1:2" x14ac:dyDescent="0.35">
      <c r="A10" s="3" t="s">
        <v>8</v>
      </c>
      <c r="B10" s="6" t="str">
        <f>DCF!B33</f>
        <v>HOLD</v>
      </c>
    </row>
    <row r="11" spans="1:2" x14ac:dyDescent="0.35">
      <c r="A11" s="3" t="s">
        <v>9</v>
      </c>
      <c r="B11" s="6" t="str">
        <f>Checks!$B$17</f>
        <v>ALL OK</v>
      </c>
    </row>
    <row r="12" spans="1:2" x14ac:dyDescent="0.35">
      <c r="A12" s="3" t="s">
        <v>10</v>
      </c>
      <c r="B12" s="7">
        <f>WACC!$B$17</f>
        <v>8.5112936473259099E-2</v>
      </c>
    </row>
    <row r="13" spans="1:2" x14ac:dyDescent="0.35">
      <c r="A13" s="3" t="s">
        <v>11</v>
      </c>
      <c r="B13" s="7">
        <f>Inputs!$B$11</f>
        <v>1.4999999999999999E-2</v>
      </c>
    </row>
    <row r="14" spans="1:2" x14ac:dyDescent="0.35">
      <c r="A14" s="3" t="s">
        <v>12</v>
      </c>
      <c r="B14" s="8">
        <f>Peers!E25</f>
        <v>10.387018297986579</v>
      </c>
    </row>
    <row r="15" spans="1:2" x14ac:dyDescent="0.35">
      <c r="A15" s="3" t="s">
        <v>13</v>
      </c>
      <c r="B15" s="8">
        <f>Peers!F25</f>
        <v>11.43223910257376</v>
      </c>
    </row>
    <row r="18" spans="1:1" x14ac:dyDescent="0.35">
      <c r="A18" s="9" t="s">
        <v>14</v>
      </c>
    </row>
    <row r="19" spans="1:1" x14ac:dyDescent="0.35">
      <c r="A19" s="10" t="s">
        <v>15</v>
      </c>
    </row>
    <row r="20" spans="1:1" x14ac:dyDescent="0.35">
      <c r="A20" s="11" t="s">
        <v>16</v>
      </c>
    </row>
    <row r="21" spans="1:1" x14ac:dyDescent="0.35">
      <c r="A21" s="6" t="s">
        <v>17</v>
      </c>
    </row>
    <row r="22" spans="1:1" x14ac:dyDescent="0.35">
      <c r="A22" s="12" t="s">
        <v>18</v>
      </c>
    </row>
    <row r="24" spans="1:1" x14ac:dyDescent="0.35">
      <c r="A24" s="2" t="s">
        <v>19</v>
      </c>
    </row>
    <row r="25" spans="1:1" x14ac:dyDescent="0.35">
      <c r="A25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4" customWidth="1"/>
  </cols>
  <sheetData>
    <row r="1" spans="1:3" ht="18" x14ac:dyDescent="0.4">
      <c r="A1" s="1" t="s">
        <v>21</v>
      </c>
    </row>
    <row r="2" spans="1:3" x14ac:dyDescent="0.35">
      <c r="A2" s="2" t="s">
        <v>22</v>
      </c>
    </row>
    <row r="4" spans="1:3" x14ac:dyDescent="0.35">
      <c r="A4" s="13" t="s">
        <v>23</v>
      </c>
      <c r="B4" s="14" t="s">
        <v>24</v>
      </c>
      <c r="C4" s="13" t="s">
        <v>25</v>
      </c>
    </row>
    <row r="5" spans="1:3" x14ac:dyDescent="0.35">
      <c r="A5" s="11" t="s">
        <v>2</v>
      </c>
      <c r="B5" s="15">
        <v>44.35</v>
      </c>
      <c r="C5" s="2" t="s">
        <v>26</v>
      </c>
    </row>
    <row r="6" spans="1:3" x14ac:dyDescent="0.35">
      <c r="A6" s="11" t="s">
        <v>27</v>
      </c>
      <c r="B6" s="16">
        <v>1</v>
      </c>
      <c r="C6" s="2" t="s">
        <v>28</v>
      </c>
    </row>
    <row r="7" spans="1:3" x14ac:dyDescent="0.35">
      <c r="A7" s="11" t="s">
        <v>29</v>
      </c>
      <c r="B7" s="17">
        <v>193.307366</v>
      </c>
      <c r="C7" s="2" t="s">
        <v>30</v>
      </c>
    </row>
    <row r="8" spans="1:3" x14ac:dyDescent="0.35">
      <c r="A8" s="11" t="s">
        <v>31</v>
      </c>
      <c r="B8" s="18">
        <v>1003</v>
      </c>
      <c r="C8" s="2" t="s">
        <v>32</v>
      </c>
    </row>
    <row r="9" spans="1:3" x14ac:dyDescent="0.35">
      <c r="A9" s="11" t="s">
        <v>33</v>
      </c>
      <c r="B9" s="18">
        <v>0</v>
      </c>
      <c r="C9" s="2" t="s">
        <v>34</v>
      </c>
    </row>
    <row r="10" spans="1:3" x14ac:dyDescent="0.35">
      <c r="A10" s="11" t="s">
        <v>35</v>
      </c>
      <c r="B10" s="19">
        <v>0.22</v>
      </c>
      <c r="C10" s="2" t="s">
        <v>36</v>
      </c>
    </row>
    <row r="11" spans="1:3" x14ac:dyDescent="0.35">
      <c r="A11" s="11" t="s">
        <v>11</v>
      </c>
      <c r="B11" s="20">
        <v>1.4999999999999999E-2</v>
      </c>
      <c r="C11" s="2" t="s">
        <v>37</v>
      </c>
    </row>
    <row r="12" spans="1:3" x14ac:dyDescent="0.35">
      <c r="A12" s="11" t="s">
        <v>38</v>
      </c>
      <c r="B12" s="21">
        <v>3.7999999999999999E-2</v>
      </c>
      <c r="C12" s="2" t="s">
        <v>37</v>
      </c>
    </row>
    <row r="13" spans="1:3" x14ac:dyDescent="0.35">
      <c r="A13" s="11" t="s">
        <v>39</v>
      </c>
      <c r="B13" s="21">
        <v>0.05</v>
      </c>
      <c r="C13" s="2" t="s">
        <v>37</v>
      </c>
    </row>
    <row r="14" spans="1:3" x14ac:dyDescent="0.35">
      <c r="A14" s="11" t="s">
        <v>40</v>
      </c>
      <c r="B14" s="15">
        <v>0.88878000000000013</v>
      </c>
      <c r="C14" s="2" t="s">
        <v>41</v>
      </c>
    </row>
    <row r="15" spans="1:3" x14ac:dyDescent="0.35">
      <c r="A15" s="11" t="s">
        <v>42</v>
      </c>
      <c r="B15" s="21">
        <v>0.01</v>
      </c>
      <c r="C15" s="2" t="s">
        <v>43</v>
      </c>
    </row>
    <row r="16" spans="1:3" x14ac:dyDescent="0.35">
      <c r="A16" s="11" t="s">
        <v>44</v>
      </c>
      <c r="B16" s="21">
        <v>5.5040802448146887E-2</v>
      </c>
      <c r="C16" s="2" t="s">
        <v>45</v>
      </c>
    </row>
    <row r="17" spans="1:7" x14ac:dyDescent="0.35">
      <c r="A17" s="11" t="s">
        <v>46</v>
      </c>
      <c r="B17" s="18">
        <v>1489</v>
      </c>
      <c r="C17" s="2" t="s">
        <v>34</v>
      </c>
    </row>
    <row r="18" spans="1:7" x14ac:dyDescent="0.35">
      <c r="A18" s="11" t="s">
        <v>47</v>
      </c>
      <c r="B18" s="22">
        <v>0</v>
      </c>
      <c r="C18" s="2" t="s">
        <v>37</v>
      </c>
    </row>
    <row r="19" spans="1:7" x14ac:dyDescent="0.35">
      <c r="A19" s="11" t="s">
        <v>48</v>
      </c>
      <c r="B19" s="22">
        <v>0</v>
      </c>
      <c r="C19" s="2" t="s">
        <v>49</v>
      </c>
    </row>
    <row r="20" spans="1:7" x14ac:dyDescent="0.35">
      <c r="A20" s="11" t="s">
        <v>50</v>
      </c>
      <c r="B20" s="21">
        <v>0.1051129364732591</v>
      </c>
      <c r="C20" s="2" t="s">
        <v>51</v>
      </c>
    </row>
    <row r="21" spans="1:7" x14ac:dyDescent="0.35">
      <c r="A21" s="11" t="s">
        <v>52</v>
      </c>
      <c r="B21" s="23">
        <v>0.65698479384381037</v>
      </c>
      <c r="C21" s="2" t="s">
        <v>53</v>
      </c>
    </row>
    <row r="22" spans="1:7" x14ac:dyDescent="0.35">
      <c r="A22" s="11" t="s">
        <v>54</v>
      </c>
      <c r="B22" s="22">
        <v>12</v>
      </c>
      <c r="C22" s="2" t="s">
        <v>55</v>
      </c>
    </row>
    <row r="23" spans="1:7" x14ac:dyDescent="0.35">
      <c r="A23" s="11" t="s">
        <v>56</v>
      </c>
      <c r="B23" s="23">
        <v>0.5</v>
      </c>
      <c r="C23" s="2" t="s">
        <v>37</v>
      </c>
    </row>
    <row r="24" spans="1:7" x14ac:dyDescent="0.35">
      <c r="A24" s="11" t="s">
        <v>57</v>
      </c>
      <c r="B24" s="19">
        <v>1</v>
      </c>
      <c r="C24" s="2" t="s">
        <v>58</v>
      </c>
    </row>
    <row r="25" spans="1:7" x14ac:dyDescent="0.35">
      <c r="A25" s="11" t="s">
        <v>59</v>
      </c>
      <c r="B25" s="23">
        <v>45.914451569999997</v>
      </c>
      <c r="C25" s="2" t="s">
        <v>60</v>
      </c>
    </row>
    <row r="26" spans="1:7" x14ac:dyDescent="0.35">
      <c r="A26" s="11" t="s">
        <v>61</v>
      </c>
      <c r="B26" s="19">
        <v>0.15</v>
      </c>
      <c r="C26" s="2" t="s">
        <v>37</v>
      </c>
    </row>
    <row r="27" spans="1:7" x14ac:dyDescent="0.35">
      <c r="A27" s="11" t="s">
        <v>62</v>
      </c>
      <c r="B27" s="19">
        <v>-0.1</v>
      </c>
      <c r="C27" s="2" t="s">
        <v>37</v>
      </c>
    </row>
    <row r="30" spans="1:7" x14ac:dyDescent="0.35">
      <c r="A30" s="13" t="s">
        <v>63</v>
      </c>
      <c r="B30" s="14" t="s">
        <v>64</v>
      </c>
      <c r="C30" s="14" t="s">
        <v>65</v>
      </c>
      <c r="D30" s="14" t="s">
        <v>66</v>
      </c>
      <c r="E30" s="14" t="s">
        <v>67</v>
      </c>
      <c r="F30" s="14" t="s">
        <v>68</v>
      </c>
      <c r="G30" s="14" t="s">
        <v>69</v>
      </c>
    </row>
    <row r="31" spans="1:7" x14ac:dyDescent="0.35">
      <c r="A31" s="11" t="s">
        <v>70</v>
      </c>
      <c r="B31" s="24">
        <v>3.9699999999999999E-2</v>
      </c>
      <c r="C31" s="24">
        <v>6.2600000000000003E-2</v>
      </c>
      <c r="D31" s="24">
        <v>5.0700000000000002E-2</v>
      </c>
      <c r="E31" s="24">
        <v>3.8800000000000001E-2</v>
      </c>
      <c r="F31" s="24">
        <v>2.69E-2</v>
      </c>
      <c r="G31" s="24">
        <v>1.4999999999999999E-2</v>
      </c>
    </row>
    <row r="32" spans="1:7" x14ac:dyDescent="0.35">
      <c r="A32" s="11" t="s">
        <v>71</v>
      </c>
      <c r="B32" s="24">
        <v>0.16945929388273731</v>
      </c>
      <c r="C32" s="24">
        <v>0.17156743510618991</v>
      </c>
      <c r="D32" s="24">
        <v>0.17367557632964239</v>
      </c>
      <c r="E32" s="24">
        <v>0.17578371755309491</v>
      </c>
      <c r="F32" s="24">
        <v>0.17789185877654751</v>
      </c>
      <c r="G32" s="24">
        <v>0.18</v>
      </c>
    </row>
    <row r="33" spans="1:7" x14ac:dyDescent="0.35">
      <c r="A33" s="11" t="s">
        <v>72</v>
      </c>
      <c r="B33" s="24">
        <v>4.5343480005294222E-2</v>
      </c>
      <c r="C33" s="24">
        <v>4.5343480005294222E-2</v>
      </c>
      <c r="D33" s="24">
        <v>4.5343480005294222E-2</v>
      </c>
      <c r="E33" s="24">
        <v>4.5343480005294222E-2</v>
      </c>
      <c r="F33" s="24">
        <v>4.5343480005294222E-2</v>
      </c>
      <c r="G33" s="24">
        <v>4.5343480005294222E-2</v>
      </c>
    </row>
    <row r="34" spans="1:7" x14ac:dyDescent="0.35">
      <c r="A34" s="11" t="s">
        <v>73</v>
      </c>
      <c r="B34" s="24">
        <v>4.9347107212782709E-2</v>
      </c>
      <c r="C34" s="24">
        <v>4.8999816571337958E-2</v>
      </c>
      <c r="D34" s="24">
        <v>4.8652525929893199E-2</v>
      </c>
      <c r="E34" s="24">
        <v>4.8305235288448448E-2</v>
      </c>
      <c r="F34" s="24">
        <v>4.7957944647003689E-2</v>
      </c>
      <c r="G34" s="24">
        <v>4.7610654005558938E-2</v>
      </c>
    </row>
    <row r="35" spans="1:7" x14ac:dyDescent="0.35">
      <c r="A35" s="11" t="s">
        <v>74</v>
      </c>
      <c r="B35" s="24">
        <v>-0.15111014230558731</v>
      </c>
      <c r="C35" s="24">
        <v>-0.15111014230558731</v>
      </c>
      <c r="D35" s="24">
        <v>-0.15111014230558731</v>
      </c>
      <c r="E35" s="24">
        <v>-0.15111014230558731</v>
      </c>
      <c r="F35" s="24">
        <v>-0.15111014230558731</v>
      </c>
      <c r="G35" s="24">
        <v>-0.15111014230558731</v>
      </c>
    </row>
    <row r="37" spans="1:7" x14ac:dyDescent="0.35">
      <c r="A37" s="2" t="s">
        <v>75</v>
      </c>
    </row>
    <row r="38" spans="1:7" x14ac:dyDescent="0.35">
      <c r="A38" s="2" t="s">
        <v>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5" width="12" customWidth="1"/>
  </cols>
  <sheetData>
    <row r="1" spans="1:5" ht="18" x14ac:dyDescent="0.4">
      <c r="A1" s="1" t="s">
        <v>77</v>
      </c>
    </row>
    <row r="2" spans="1:5" x14ac:dyDescent="0.35">
      <c r="A2" s="2" t="s">
        <v>78</v>
      </c>
    </row>
    <row r="4" spans="1:5" x14ac:dyDescent="0.35">
      <c r="A4" s="13" t="s">
        <v>79</v>
      </c>
      <c r="B4" s="14" t="s">
        <v>80</v>
      </c>
      <c r="C4" s="14" t="s">
        <v>81</v>
      </c>
      <c r="D4" s="14" t="s">
        <v>82</v>
      </c>
      <c r="E4" s="14" t="s">
        <v>83</v>
      </c>
    </row>
    <row r="5" spans="1:5" x14ac:dyDescent="0.35">
      <c r="A5" s="3" t="s">
        <v>84</v>
      </c>
      <c r="B5" s="18">
        <v>4082</v>
      </c>
      <c r="C5" s="18">
        <v>4734</v>
      </c>
      <c r="D5" s="18">
        <v>5064</v>
      </c>
      <c r="E5" s="18">
        <v>5509</v>
      </c>
    </row>
    <row r="6" spans="1:5" x14ac:dyDescent="0.35">
      <c r="A6" s="25" t="s">
        <v>85</v>
      </c>
      <c r="B6" s="26"/>
      <c r="C6" s="26">
        <f>IF(B5=0,"",C5/B5-1)</f>
        <v>0.15972562469377749</v>
      </c>
      <c r="D6" s="26">
        <f>IF(C5=0,"",D5/C5-1)</f>
        <v>6.9708491761723668E-2</v>
      </c>
      <c r="E6" s="26">
        <f>IF(D5=0,"",E5/D5-1)</f>
        <v>8.787519747235395E-2</v>
      </c>
    </row>
    <row r="7" spans="1:5" x14ac:dyDescent="0.35">
      <c r="A7" s="11" t="s">
        <v>86</v>
      </c>
      <c r="B7" s="18">
        <v>1159</v>
      </c>
      <c r="C7" s="18">
        <v>1885</v>
      </c>
      <c r="D7" s="18">
        <v>1966</v>
      </c>
      <c r="E7" s="18">
        <v>2144</v>
      </c>
    </row>
    <row r="8" spans="1:5" x14ac:dyDescent="0.35">
      <c r="A8" s="11" t="s">
        <v>87</v>
      </c>
      <c r="B8" s="18">
        <v>1069.075</v>
      </c>
      <c r="C8" s="18">
        <v>1160.1424999999999</v>
      </c>
      <c r="D8" s="18">
        <v>1186.7075</v>
      </c>
      <c r="E8" s="18">
        <v>1222.0625</v>
      </c>
    </row>
    <row r="9" spans="1:5" x14ac:dyDescent="0.35">
      <c r="A9" s="3" t="s">
        <v>88</v>
      </c>
      <c r="B9" s="27">
        <f>B7-B8</f>
        <v>89.924999999999955</v>
      </c>
      <c r="C9" s="27">
        <f>C7-C8</f>
        <v>724.85750000000007</v>
      </c>
      <c r="D9" s="27">
        <f>D7-D8</f>
        <v>779.29250000000002</v>
      </c>
      <c r="E9" s="27">
        <f>E7-E8</f>
        <v>921.9375</v>
      </c>
    </row>
    <row r="10" spans="1:5" x14ac:dyDescent="0.35">
      <c r="A10" s="25" t="s">
        <v>71</v>
      </c>
      <c r="B10" s="26">
        <f>IF(B5=0,"",B9/B5)</f>
        <v>2.2029642332190093E-2</v>
      </c>
      <c r="C10" s="26">
        <f>IF(C5=0,"",C9/C5)</f>
        <v>0.15311734262779891</v>
      </c>
      <c r="D10" s="26">
        <f>IF(D5=0,"",D9/D5)</f>
        <v>0.15388872432859399</v>
      </c>
      <c r="E10" s="26">
        <f>IF(E5=0,"",E9/E5)</f>
        <v>0.1673511526592848</v>
      </c>
    </row>
    <row r="11" spans="1:5" x14ac:dyDescent="0.35">
      <c r="A11" s="11" t="s">
        <v>89</v>
      </c>
      <c r="B11" s="18">
        <v>1120</v>
      </c>
      <c r="C11" s="18">
        <v>1177</v>
      </c>
      <c r="D11" s="18">
        <v>1198</v>
      </c>
      <c r="E11" s="18">
        <v>1217</v>
      </c>
    </row>
    <row r="12" spans="1:5" x14ac:dyDescent="0.35">
      <c r="A12" s="11" t="s">
        <v>90</v>
      </c>
      <c r="B12" s="18">
        <v>865</v>
      </c>
      <c r="C12" s="18">
        <v>947</v>
      </c>
      <c r="D12" s="18">
        <v>962</v>
      </c>
      <c r="E12" s="18">
        <v>992</v>
      </c>
    </row>
    <row r="13" spans="1:5" x14ac:dyDescent="0.35">
      <c r="A13" s="11" t="s">
        <v>91</v>
      </c>
      <c r="B13" s="28">
        <f>MAX(B11-B12,0)</f>
        <v>255</v>
      </c>
      <c r="C13" s="28">
        <f>MAX(C11-C12,0)</f>
        <v>230</v>
      </c>
      <c r="D13" s="28">
        <f>MAX(D11-D12,0)</f>
        <v>236</v>
      </c>
      <c r="E13" s="28">
        <f>MAX(E11-E12,0)</f>
        <v>225</v>
      </c>
    </row>
    <row r="14" spans="1:5" x14ac:dyDescent="0.35">
      <c r="A14" s="3" t="s">
        <v>92</v>
      </c>
      <c r="B14" s="27">
        <f>B9-B13</f>
        <v>-165.07500000000005</v>
      </c>
      <c r="C14" s="27">
        <f>C9-C13</f>
        <v>494.85750000000007</v>
      </c>
      <c r="D14" s="27">
        <f>D9-D13</f>
        <v>543.29250000000002</v>
      </c>
      <c r="E14" s="27">
        <f>E9-E13</f>
        <v>696.9375</v>
      </c>
    </row>
    <row r="15" spans="1:5" x14ac:dyDescent="0.35">
      <c r="A15" s="25" t="s">
        <v>93</v>
      </c>
      <c r="B15" s="26">
        <f>IF(B5=0,"",B14/B5)</f>
        <v>-4.0439735423811865E-2</v>
      </c>
      <c r="C15" s="26">
        <f>IF(C5=0,"",C14/C5)</f>
        <v>0.10453263624841573</v>
      </c>
      <c r="D15" s="26">
        <f>IF(D5=0,"",D14/D5)</f>
        <v>0.10728524881516588</v>
      </c>
      <c r="E15" s="26">
        <f>IF(E5=0,"",E14/E5)</f>
        <v>0.12650889453621347</v>
      </c>
    </row>
    <row r="16" spans="1:5" x14ac:dyDescent="0.35">
      <c r="A16" s="25" t="s">
        <v>94</v>
      </c>
      <c r="B16" s="19">
        <v>0.22</v>
      </c>
      <c r="C16" s="19">
        <v>0.28434504792332271</v>
      </c>
      <c r="D16" s="19">
        <v>0.24884792626728111</v>
      </c>
      <c r="E16" s="19">
        <v>0.2288961038961039</v>
      </c>
    </row>
    <row r="17" spans="1:5" x14ac:dyDescent="0.35">
      <c r="A17" s="3" t="s">
        <v>95</v>
      </c>
      <c r="B17" s="27">
        <f>B14*(1-B16)</f>
        <v>-128.75850000000003</v>
      </c>
      <c r="C17" s="27">
        <f>C14*(1-C16)</f>
        <v>354.14722044728438</v>
      </c>
      <c r="D17" s="27">
        <f>D14*(1-D16)</f>
        <v>408.09528801843317</v>
      </c>
      <c r="E17" s="27">
        <f>E14*(1-E16)</f>
        <v>537.41122159090912</v>
      </c>
    </row>
    <row r="18" spans="1:5" x14ac:dyDescent="0.35">
      <c r="A18" s="11" t="s">
        <v>96</v>
      </c>
      <c r="B18" s="18">
        <v>-256</v>
      </c>
      <c r="C18" s="18">
        <v>-167</v>
      </c>
      <c r="D18" s="18">
        <v>-287</v>
      </c>
      <c r="E18" s="18">
        <v>-309</v>
      </c>
    </row>
    <row r="19" spans="1:5" x14ac:dyDescent="0.35">
      <c r="A19" s="11" t="s">
        <v>97</v>
      </c>
      <c r="B19" s="18">
        <v>-44</v>
      </c>
      <c r="C19" s="18">
        <v>-22</v>
      </c>
      <c r="D19" s="18">
        <v>36</v>
      </c>
      <c r="E19" s="18">
        <v>65</v>
      </c>
    </row>
    <row r="20" spans="1:5" x14ac:dyDescent="0.35">
      <c r="A20" s="3" t="s">
        <v>98</v>
      </c>
      <c r="B20" s="27">
        <f>B17+B13+B18+B19</f>
        <v>-173.75850000000003</v>
      </c>
      <c r="C20" s="27">
        <f>C17+C13+C18+C19</f>
        <v>395.14722044728433</v>
      </c>
      <c r="D20" s="27">
        <f>D17+D13+D18+D19</f>
        <v>393.09528801843317</v>
      </c>
      <c r="E20" s="27">
        <f>E17+E13+E18+E19</f>
        <v>518.41122159090912</v>
      </c>
    </row>
    <row r="21" spans="1:5" x14ac:dyDescent="0.35">
      <c r="A21" s="25" t="s">
        <v>99</v>
      </c>
      <c r="B21" s="26">
        <f>IF(B5=0,"",B20/B5)</f>
        <v>-4.2567001469867721E-2</v>
      </c>
      <c r="C21" s="26">
        <f>IF(C5=0,"",C20/C5)</f>
        <v>8.3470050791568301E-2</v>
      </c>
      <c r="D21" s="26">
        <f>IF(D5=0,"",D20/D5)</f>
        <v>7.7625451820385702E-2</v>
      </c>
      <c r="E21" s="26">
        <f>IF(E5=0,"",E20/E5)</f>
        <v>9.4102599671611747E-2</v>
      </c>
    </row>
    <row r="22" spans="1:5" x14ac:dyDescent="0.35">
      <c r="A22" s="11" t="s">
        <v>100</v>
      </c>
      <c r="B22" s="18">
        <v>-246</v>
      </c>
      <c r="C22" s="18">
        <v>224</v>
      </c>
      <c r="D22" s="18">
        <v>326</v>
      </c>
      <c r="E22" s="18">
        <v>474</v>
      </c>
    </row>
    <row r="23" spans="1:5" x14ac:dyDescent="0.35">
      <c r="A23" s="11" t="s">
        <v>101</v>
      </c>
      <c r="B23" s="23">
        <v>-1.25</v>
      </c>
      <c r="C23" s="23">
        <v>1.1000000000000001</v>
      </c>
      <c r="D23" s="23">
        <v>1.59</v>
      </c>
      <c r="E23" s="23">
        <v>2.34</v>
      </c>
    </row>
    <row r="24" spans="1:5" x14ac:dyDescent="0.35">
      <c r="A24" s="11" t="s">
        <v>102</v>
      </c>
      <c r="B24" s="18">
        <v>323</v>
      </c>
      <c r="C24" s="18">
        <v>259</v>
      </c>
      <c r="D24" s="18">
        <v>348</v>
      </c>
      <c r="E24" s="18">
        <v>486</v>
      </c>
    </row>
    <row r="25" spans="1:5" x14ac:dyDescent="0.35">
      <c r="A25" s="11" t="s">
        <v>103</v>
      </c>
      <c r="B25" s="18">
        <v>6524</v>
      </c>
      <c r="C25" s="18">
        <v>6676</v>
      </c>
      <c r="D25" s="18">
        <v>6501</v>
      </c>
      <c r="E25" s="18">
        <v>6665</v>
      </c>
    </row>
    <row r="26" spans="1:5" x14ac:dyDescent="0.35">
      <c r="A26" s="11" t="s">
        <v>104</v>
      </c>
      <c r="B26" s="18">
        <v>4535</v>
      </c>
      <c r="C26" s="18">
        <v>4938</v>
      </c>
      <c r="D26" s="18">
        <v>5049</v>
      </c>
      <c r="E26" s="18">
        <v>5176</v>
      </c>
    </row>
    <row r="27" spans="1:5" x14ac:dyDescent="0.35">
      <c r="A27" s="11" t="s">
        <v>105</v>
      </c>
      <c r="B27" s="18">
        <v>1666</v>
      </c>
      <c r="C27" s="18">
        <v>1479</v>
      </c>
      <c r="D27" s="18">
        <v>1104</v>
      </c>
      <c r="E27" s="18">
        <v>1003</v>
      </c>
    </row>
    <row r="28" spans="1:5" x14ac:dyDescent="0.35">
      <c r="A28" s="11" t="s">
        <v>106</v>
      </c>
      <c r="B28" s="29">
        <f>IF(B9&lt;=0,"n.m.",B27/B9)</f>
        <v>18.526549902696701</v>
      </c>
      <c r="C28" s="29">
        <f>IF(C9&lt;=0,"n.m.",C27/C9)</f>
        <v>2.0404010443431981</v>
      </c>
      <c r="D28" s="29">
        <f>IF(D9&lt;=0,"n.m.",D27/D9)</f>
        <v>1.4166696073682217</v>
      </c>
      <c r="E28" s="29">
        <f>IF(E9&lt;=0,"n.m.",E27/E9)</f>
        <v>1.0879262422886584</v>
      </c>
    </row>
    <row r="29" spans="1:5" x14ac:dyDescent="0.35">
      <c r="A29" s="11" t="s">
        <v>107</v>
      </c>
      <c r="B29" s="18">
        <v>95.925000000000011</v>
      </c>
      <c r="C29" s="18">
        <v>181.85749999999999</v>
      </c>
      <c r="D29" s="18">
        <v>109.2925</v>
      </c>
      <c r="E29" s="18">
        <v>80.9375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2" customWidth="1"/>
  </cols>
  <sheetData>
    <row r="1" spans="1:9" ht="18" x14ac:dyDescent="0.4">
      <c r="A1" s="1" t="s">
        <v>108</v>
      </c>
    </row>
    <row r="2" spans="1:9" x14ac:dyDescent="0.35">
      <c r="A2" s="2" t="s">
        <v>109</v>
      </c>
    </row>
    <row r="4" spans="1:9" x14ac:dyDescent="0.35">
      <c r="A4" s="13" t="s">
        <v>79</v>
      </c>
      <c r="B4" s="14" t="s">
        <v>83</v>
      </c>
      <c r="C4" s="14" t="s">
        <v>64</v>
      </c>
      <c r="D4" s="14" t="s">
        <v>65</v>
      </c>
      <c r="E4" s="14" t="s">
        <v>66</v>
      </c>
      <c r="F4" s="14" t="s">
        <v>67</v>
      </c>
      <c r="G4" s="14" t="s">
        <v>68</v>
      </c>
      <c r="H4" s="14" t="s">
        <v>69</v>
      </c>
      <c r="I4" s="14" t="s">
        <v>110</v>
      </c>
    </row>
    <row r="5" spans="1:9" x14ac:dyDescent="0.35">
      <c r="A5" s="11" t="s">
        <v>70</v>
      </c>
      <c r="C5" s="30">
        <f>Inputs!B31</f>
        <v>3.9699999999999999E-2</v>
      </c>
      <c r="D5" s="30">
        <f>Inputs!C31</f>
        <v>6.2600000000000003E-2</v>
      </c>
      <c r="E5" s="30">
        <f>Inputs!D31</f>
        <v>5.0700000000000002E-2</v>
      </c>
      <c r="F5" s="30">
        <f>Inputs!E31</f>
        <v>3.8800000000000001E-2</v>
      </c>
      <c r="G5" s="30">
        <f>Inputs!F31</f>
        <v>2.69E-2</v>
      </c>
      <c r="H5" s="30">
        <f>Inputs!G31</f>
        <v>1.4999999999999999E-2</v>
      </c>
      <c r="I5" s="30">
        <f>Inputs!$B$11</f>
        <v>1.4999999999999999E-2</v>
      </c>
    </row>
    <row r="6" spans="1:9" x14ac:dyDescent="0.35">
      <c r="A6" s="3" t="s">
        <v>84</v>
      </c>
      <c r="B6" s="31">
        <f>Historicals!E5</f>
        <v>5509</v>
      </c>
      <c r="C6" s="27">
        <f t="shared" ref="C6:I6" si="0">B6*(1+C5)</f>
        <v>5727.7073</v>
      </c>
      <c r="D6" s="27">
        <f t="shared" si="0"/>
        <v>6086.2617769799999</v>
      </c>
      <c r="E6" s="27">
        <f t="shared" si="0"/>
        <v>6394.8352490728857</v>
      </c>
      <c r="F6" s="27">
        <f t="shared" si="0"/>
        <v>6642.9548567369129</v>
      </c>
      <c r="G6" s="27">
        <f t="shared" si="0"/>
        <v>6821.6503423831355</v>
      </c>
      <c r="H6" s="27">
        <f t="shared" si="0"/>
        <v>6923.9750975188817</v>
      </c>
      <c r="I6" s="27">
        <f t="shared" si="0"/>
        <v>7027.834723981664</v>
      </c>
    </row>
    <row r="7" spans="1:9" x14ac:dyDescent="0.35">
      <c r="A7" s="25" t="s">
        <v>71</v>
      </c>
      <c r="B7" s="26">
        <f>B8/B6</f>
        <v>0.1673511526592848</v>
      </c>
      <c r="C7" s="30">
        <f>Inputs!B32</f>
        <v>0.16945929388273731</v>
      </c>
      <c r="D7" s="30">
        <f>Inputs!C32</f>
        <v>0.17156743510618991</v>
      </c>
      <c r="E7" s="30">
        <f>Inputs!D32</f>
        <v>0.17367557632964239</v>
      </c>
      <c r="F7" s="30">
        <f>Inputs!E32</f>
        <v>0.17578371755309491</v>
      </c>
      <c r="G7" s="30">
        <f>Inputs!F32</f>
        <v>0.17789185877654751</v>
      </c>
      <c r="H7" s="30">
        <f>Inputs!G32</f>
        <v>0.18</v>
      </c>
      <c r="I7" s="26">
        <f>H7</f>
        <v>0.18</v>
      </c>
    </row>
    <row r="8" spans="1:9" x14ac:dyDescent="0.35">
      <c r="A8" s="3" t="s">
        <v>88</v>
      </c>
      <c r="B8" s="31">
        <f>Historicals!E9</f>
        <v>921.9375</v>
      </c>
      <c r="C8" s="27">
        <f t="shared" ref="C8:I8" si="1">C6*C7</f>
        <v>970.61323462499979</v>
      </c>
      <c r="D8" s="27">
        <f t="shared" si="1"/>
        <v>1044.2043224613003</v>
      </c>
      <c r="E8" s="27">
        <f t="shared" si="1"/>
        <v>1110.6266974158457</v>
      </c>
      <c r="F8" s="27">
        <f t="shared" si="1"/>
        <v>1167.7233002546016</v>
      </c>
      <c r="G8" s="27">
        <f t="shared" si="1"/>
        <v>1213.5160593302078</v>
      </c>
      <c r="H8" s="27">
        <f t="shared" si="1"/>
        <v>1246.3155175533986</v>
      </c>
      <c r="I8" s="27">
        <f t="shared" si="1"/>
        <v>1265.0102503166995</v>
      </c>
    </row>
    <row r="9" spans="1:9" x14ac:dyDescent="0.35">
      <c r="A9" s="25" t="s">
        <v>72</v>
      </c>
      <c r="C9" s="30">
        <f>Inputs!B33</f>
        <v>4.5343480005294222E-2</v>
      </c>
      <c r="D9" s="30">
        <f>Inputs!C33</f>
        <v>4.5343480005294222E-2</v>
      </c>
      <c r="E9" s="30">
        <f>Inputs!D33</f>
        <v>4.5343480005294222E-2</v>
      </c>
      <c r="F9" s="30">
        <f>Inputs!E33</f>
        <v>4.5343480005294222E-2</v>
      </c>
      <c r="G9" s="30">
        <f>Inputs!F33</f>
        <v>4.5343480005294222E-2</v>
      </c>
      <c r="H9" s="30">
        <f>Inputs!G33</f>
        <v>4.5343480005294222E-2</v>
      </c>
      <c r="I9" s="26">
        <f>H9</f>
        <v>4.5343480005294222E-2</v>
      </c>
    </row>
    <row r="10" spans="1:9" x14ac:dyDescent="0.35">
      <c r="A10" s="11" t="s">
        <v>91</v>
      </c>
      <c r="B10" s="31">
        <f>Historicals!E13</f>
        <v>225</v>
      </c>
      <c r="C10" s="28">
        <f t="shared" ref="C10:I10" si="2">C6*C9</f>
        <v>259.71418143372773</v>
      </c>
      <c r="D10" s="28">
        <f t="shared" si="2"/>
        <v>275.97228919147909</v>
      </c>
      <c r="E10" s="28">
        <f t="shared" si="2"/>
        <v>289.9640842534871</v>
      </c>
      <c r="F10" s="28">
        <f t="shared" si="2"/>
        <v>301.21469072252233</v>
      </c>
      <c r="G10" s="28">
        <f t="shared" si="2"/>
        <v>309.31736590295816</v>
      </c>
      <c r="H10" s="28">
        <f t="shared" si="2"/>
        <v>313.95712639150253</v>
      </c>
      <c r="I10" s="28">
        <f t="shared" si="2"/>
        <v>318.666483287375</v>
      </c>
    </row>
    <row r="11" spans="1:9" x14ac:dyDescent="0.35">
      <c r="A11" s="3" t="s">
        <v>92</v>
      </c>
      <c r="B11" s="31">
        <f>Historicals!E14</f>
        <v>696.9375</v>
      </c>
      <c r="C11" s="27">
        <f t="shared" ref="C11:I11" si="3">C8-C10</f>
        <v>710.89905319127206</v>
      </c>
      <c r="D11" s="27">
        <f t="shared" si="3"/>
        <v>768.23203326982116</v>
      </c>
      <c r="E11" s="27">
        <f t="shared" si="3"/>
        <v>820.66261316235864</v>
      </c>
      <c r="F11" s="27">
        <f t="shared" si="3"/>
        <v>866.50860953207916</v>
      </c>
      <c r="G11" s="27">
        <f t="shared" si="3"/>
        <v>904.19869342724962</v>
      </c>
      <c r="H11" s="27">
        <f t="shared" si="3"/>
        <v>932.35839116189618</v>
      </c>
      <c r="I11" s="27">
        <f t="shared" si="3"/>
        <v>946.34376702932445</v>
      </c>
    </row>
    <row r="12" spans="1:9" x14ac:dyDescent="0.35">
      <c r="A12" s="25" t="s">
        <v>93</v>
      </c>
      <c r="C12" s="26">
        <f t="shared" ref="C12:I12" si="4">C11/C6</f>
        <v>0.12411581387744308</v>
      </c>
      <c r="D12" s="26">
        <f t="shared" si="4"/>
        <v>0.12622395510089571</v>
      </c>
      <c r="E12" s="26">
        <f t="shared" si="4"/>
        <v>0.12833209632434817</v>
      </c>
      <c r="F12" s="26">
        <f t="shared" si="4"/>
        <v>0.13044023754780068</v>
      </c>
      <c r="G12" s="26">
        <f t="shared" si="4"/>
        <v>0.13254837877125331</v>
      </c>
      <c r="H12" s="26">
        <f t="shared" si="4"/>
        <v>0.13465651999470576</v>
      </c>
      <c r="I12" s="26">
        <f t="shared" si="4"/>
        <v>0.13465651999470576</v>
      </c>
    </row>
    <row r="13" spans="1:9" x14ac:dyDescent="0.35">
      <c r="A13" s="11" t="s">
        <v>111</v>
      </c>
      <c r="C13" s="28">
        <f>-MAX(C11,0)*Inputs!$B$10</f>
        <v>-156.39779170207984</v>
      </c>
      <c r="D13" s="28">
        <f>-MAX(D11,0)*Inputs!$B$10</f>
        <v>-169.01104731936064</v>
      </c>
      <c r="E13" s="28">
        <f>-MAX(E11,0)*Inputs!$B$10</f>
        <v>-180.54577489571889</v>
      </c>
      <c r="F13" s="28">
        <f>-MAX(F11,0)*Inputs!$B$10</f>
        <v>-190.63189409705743</v>
      </c>
      <c r="G13" s="28">
        <f>-MAX(G11,0)*Inputs!$B$10</f>
        <v>-198.92371255399493</v>
      </c>
      <c r="H13" s="28">
        <f>-MAX(H11,0)*Inputs!$B$10</f>
        <v>-205.11884605561715</v>
      </c>
      <c r="I13" s="28">
        <f>-MAX(I11,0)*Inputs!$B$10</f>
        <v>-208.19562874645138</v>
      </c>
    </row>
    <row r="14" spans="1:9" x14ac:dyDescent="0.35">
      <c r="A14" s="3" t="s">
        <v>95</v>
      </c>
      <c r="B14" s="31">
        <f>Historicals!E17</f>
        <v>537.41122159090912</v>
      </c>
      <c r="C14" s="27">
        <f t="shared" ref="C14:I14" si="5">C11+C13</f>
        <v>554.50126148919219</v>
      </c>
      <c r="D14" s="27">
        <f t="shared" si="5"/>
        <v>599.22098595046054</v>
      </c>
      <c r="E14" s="27">
        <f t="shared" si="5"/>
        <v>640.11683826663977</v>
      </c>
      <c r="F14" s="27">
        <f t="shared" si="5"/>
        <v>675.87671543502177</v>
      </c>
      <c r="G14" s="27">
        <f t="shared" si="5"/>
        <v>705.27498087325466</v>
      </c>
      <c r="H14" s="27">
        <f t="shared" si="5"/>
        <v>727.23954510627902</v>
      </c>
      <c r="I14" s="27">
        <f t="shared" si="5"/>
        <v>738.14813828287311</v>
      </c>
    </row>
    <row r="15" spans="1:9" x14ac:dyDescent="0.35">
      <c r="A15" s="25" t="s">
        <v>73</v>
      </c>
      <c r="C15" s="30">
        <f>Inputs!B34</f>
        <v>4.9347107212782709E-2</v>
      </c>
      <c r="D15" s="30">
        <f>Inputs!C34</f>
        <v>4.8999816571337958E-2</v>
      </c>
      <c r="E15" s="30">
        <f>Inputs!D34</f>
        <v>4.8652525929893199E-2</v>
      </c>
      <c r="F15" s="30">
        <f>Inputs!E34</f>
        <v>4.8305235288448448E-2</v>
      </c>
      <c r="G15" s="30">
        <f>Inputs!F34</f>
        <v>4.7957944647003689E-2</v>
      </c>
      <c r="H15" s="30">
        <f>Inputs!G34</f>
        <v>4.7610654005558938E-2</v>
      </c>
      <c r="I15" s="26">
        <f>H15</f>
        <v>4.7610654005558938E-2</v>
      </c>
    </row>
    <row r="16" spans="1:9" x14ac:dyDescent="0.35">
      <c r="A16" s="11" t="s">
        <v>96</v>
      </c>
      <c r="B16" s="31">
        <f>Historicals!E18</f>
        <v>-309</v>
      </c>
      <c r="C16" s="28">
        <f t="shared" ref="C16:I16" si="6">-C6*C15</f>
        <v>-282.64578621653817</v>
      </c>
      <c r="D16" s="28">
        <f t="shared" si="6"/>
        <v>-298.22571067716541</v>
      </c>
      <c r="E16" s="28">
        <f t="shared" si="6"/>
        <v>-311.12488777291361</v>
      </c>
      <c r="F16" s="28">
        <f t="shared" si="6"/>
        <v>-320.88949736521795</v>
      </c>
      <c r="G16" s="28">
        <f t="shared" si="6"/>
        <v>-327.15232952122415</v>
      </c>
      <c r="H16" s="28">
        <f t="shared" si="6"/>
        <v>-329.65498271107771</v>
      </c>
      <c r="I16" s="28">
        <f t="shared" si="6"/>
        <v>-334.5998074517438</v>
      </c>
    </row>
    <row r="17" spans="1:9" x14ac:dyDescent="0.35">
      <c r="A17" s="25" t="s">
        <v>74</v>
      </c>
      <c r="C17" s="30">
        <f>Inputs!B35</f>
        <v>-0.15111014230558731</v>
      </c>
      <c r="D17" s="30">
        <f>Inputs!C35</f>
        <v>-0.15111014230558731</v>
      </c>
      <c r="E17" s="30">
        <f>Inputs!D35</f>
        <v>-0.15111014230558731</v>
      </c>
      <c r="F17" s="30">
        <f>Inputs!E35</f>
        <v>-0.15111014230558731</v>
      </c>
      <c r="G17" s="30">
        <f>Inputs!F35</f>
        <v>-0.15111014230558731</v>
      </c>
      <c r="H17" s="30">
        <f>Inputs!G35</f>
        <v>-0.15111014230558731</v>
      </c>
      <c r="I17" s="26">
        <f>H17</f>
        <v>-0.15111014230558731</v>
      </c>
    </row>
    <row r="18" spans="1:9" x14ac:dyDescent="0.35">
      <c r="A18" s="11" t="s">
        <v>97</v>
      </c>
      <c r="B18" s="31">
        <f>Historicals!E19</f>
        <v>65</v>
      </c>
      <c r="C18" s="28">
        <f t="shared" ref="C18:I18" si="7">-C17*(C6-B6)</f>
        <v>33.048891226270783</v>
      </c>
      <c r="D18" s="28">
        <f t="shared" si="7"/>
        <v>54.181218040753215</v>
      </c>
      <c r="E18" s="28">
        <f t="shared" si="7"/>
        <v>46.62858127968515</v>
      </c>
      <c r="F18" s="28">
        <f t="shared" si="7"/>
        <v>37.493389222917635</v>
      </c>
      <c r="G18" s="28">
        <f t="shared" si="7"/>
        <v>27.002700265366723</v>
      </c>
      <c r="H18" s="28">
        <f t="shared" si="7"/>
        <v>15.462308309946994</v>
      </c>
      <c r="I18" s="28">
        <f t="shared" si="7"/>
        <v>15.694242934596161</v>
      </c>
    </row>
    <row r="19" spans="1:9" x14ac:dyDescent="0.35">
      <c r="A19" s="3" t="s">
        <v>98</v>
      </c>
      <c r="B19" s="31">
        <f>Historicals!E20</f>
        <v>518.41122159090912</v>
      </c>
      <c r="C19" s="27">
        <f t="shared" ref="C19:I19" si="8">C14+C10+C16+C18</f>
        <v>564.61854793265252</v>
      </c>
      <c r="D19" s="27">
        <f t="shared" si="8"/>
        <v>631.14878250552761</v>
      </c>
      <c r="E19" s="27">
        <f t="shared" si="8"/>
        <v>665.58461602689852</v>
      </c>
      <c r="F19" s="27">
        <f t="shared" si="8"/>
        <v>693.69529801524368</v>
      </c>
      <c r="G19" s="27">
        <f t="shared" si="8"/>
        <v>714.44271752035536</v>
      </c>
      <c r="H19" s="27">
        <f t="shared" si="8"/>
        <v>727.00399709665089</v>
      </c>
      <c r="I19" s="27">
        <f t="shared" si="8"/>
        <v>737.90905705310047</v>
      </c>
    </row>
    <row r="20" spans="1:9" x14ac:dyDescent="0.35">
      <c r="A20" s="25" t="s">
        <v>99</v>
      </c>
      <c r="C20" s="26">
        <f t="shared" ref="C20:I20" si="9">C19/C6</f>
        <v>9.8576711127094874E-2</v>
      </c>
      <c r="D20" s="26">
        <f t="shared" si="9"/>
        <v>0.10370056458838406</v>
      </c>
      <c r="E20" s="26">
        <f t="shared" si="9"/>
        <v>0.10408158929870696</v>
      </c>
      <c r="F20" s="26">
        <f t="shared" si="9"/>
        <v>0.10442571310141251</v>
      </c>
      <c r="G20" s="26">
        <f t="shared" si="9"/>
        <v>0.10473165314286186</v>
      </c>
      <c r="H20" s="26">
        <f t="shared" si="9"/>
        <v>0.10499806640800362</v>
      </c>
      <c r="I20" s="26">
        <f t="shared" si="9"/>
        <v>0.1049980664080036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workbookViewId="0"/>
  </sheetViews>
  <sheetFormatPr defaultRowHeight="14.5" x14ac:dyDescent="0.35"/>
  <cols>
    <col min="1" max="1" width="34" customWidth="1"/>
    <col min="2" max="2" width="14" customWidth="1"/>
    <col min="3" max="3" width="40" customWidth="1"/>
  </cols>
  <sheetData>
    <row r="1" spans="1:3" ht="18" x14ac:dyDescent="0.4">
      <c r="A1" s="1" t="s">
        <v>112</v>
      </c>
    </row>
    <row r="2" spans="1:3" x14ac:dyDescent="0.35">
      <c r="A2" s="2" t="s">
        <v>113</v>
      </c>
    </row>
    <row r="4" spans="1:3" x14ac:dyDescent="0.35">
      <c r="A4" s="13" t="s">
        <v>114</v>
      </c>
      <c r="B4" s="14" t="s">
        <v>24</v>
      </c>
    </row>
    <row r="5" spans="1:3" x14ac:dyDescent="0.35">
      <c r="A5" s="11" t="s">
        <v>38</v>
      </c>
      <c r="B5" s="7">
        <f>Inputs!$B$12</f>
        <v>3.7999999999999999E-2</v>
      </c>
    </row>
    <row r="6" spans="1:3" x14ac:dyDescent="0.35">
      <c r="A6" s="11" t="s">
        <v>40</v>
      </c>
      <c r="B6" s="4">
        <f>Inputs!$B$14</f>
        <v>0.88878000000000013</v>
      </c>
      <c r="C6" s="2" t="s">
        <v>41</v>
      </c>
    </row>
    <row r="7" spans="1:3" x14ac:dyDescent="0.35">
      <c r="A7" s="11" t="s">
        <v>39</v>
      </c>
      <c r="B7" s="7">
        <f>Inputs!$B$13</f>
        <v>0.05</v>
      </c>
    </row>
    <row r="8" spans="1:3" x14ac:dyDescent="0.35">
      <c r="A8" s="11" t="s">
        <v>42</v>
      </c>
      <c r="B8" s="7">
        <f>Inputs!$B$15</f>
        <v>0.01</v>
      </c>
    </row>
    <row r="9" spans="1:3" x14ac:dyDescent="0.35">
      <c r="A9" s="3" t="s">
        <v>115</v>
      </c>
      <c r="B9" s="32">
        <f>B5+B6*B7+B8</f>
        <v>9.2439000000000007E-2</v>
      </c>
    </row>
    <row r="10" spans="1:3" x14ac:dyDescent="0.35">
      <c r="A10" s="11" t="s">
        <v>44</v>
      </c>
      <c r="B10" s="7">
        <f>Inputs!$B$16</f>
        <v>5.5040802448146887E-2</v>
      </c>
    </row>
    <row r="11" spans="1:3" x14ac:dyDescent="0.35">
      <c r="A11" s="11" t="s">
        <v>35</v>
      </c>
      <c r="B11" s="5">
        <f>Inputs!$B$10</f>
        <v>0.22</v>
      </c>
    </row>
    <row r="12" spans="1:3" x14ac:dyDescent="0.35">
      <c r="A12" s="11" t="s">
        <v>116</v>
      </c>
      <c r="B12" s="33">
        <f>B10*(1-B11)</f>
        <v>4.293182590955457E-2</v>
      </c>
    </row>
    <row r="13" spans="1:3" x14ac:dyDescent="0.35">
      <c r="A13" s="11" t="s">
        <v>117</v>
      </c>
      <c r="B13" s="28">
        <f>(Inputs!$B$5*Inputs!$B$6)*Inputs!$B$7</f>
        <v>8573.1816821000011</v>
      </c>
    </row>
    <row r="14" spans="1:3" x14ac:dyDescent="0.35">
      <c r="A14" s="11" t="s">
        <v>118</v>
      </c>
      <c r="B14" s="31">
        <f>Inputs!$B$17</f>
        <v>1489</v>
      </c>
    </row>
    <row r="15" spans="1:3" x14ac:dyDescent="0.35">
      <c r="A15" s="11" t="s">
        <v>119</v>
      </c>
      <c r="B15" s="34">
        <f>B13/(B13+B14)</f>
        <v>0.85202016351495236</v>
      </c>
    </row>
    <row r="16" spans="1:3" x14ac:dyDescent="0.35">
      <c r="A16" s="11" t="s">
        <v>120</v>
      </c>
      <c r="B16" s="34">
        <f>B14/(B13+B14)</f>
        <v>0.14797983648504767</v>
      </c>
    </row>
    <row r="17" spans="1:2" x14ac:dyDescent="0.35">
      <c r="A17" s="3" t="s">
        <v>10</v>
      </c>
      <c r="B17" s="32">
        <f>B15*B9+B16*B12</f>
        <v>8.5112936473259099E-2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7" width="12" customWidth="1"/>
  </cols>
  <sheetData>
    <row r="1" spans="1:7" ht="18" x14ac:dyDescent="0.4">
      <c r="A1" s="1" t="s">
        <v>121</v>
      </c>
    </row>
    <row r="2" spans="1:7" x14ac:dyDescent="0.35">
      <c r="A2" s="2" t="s">
        <v>122</v>
      </c>
    </row>
    <row r="4" spans="1:7" x14ac:dyDescent="0.35">
      <c r="A4" s="13" t="s">
        <v>123</v>
      </c>
      <c r="B4" s="14" t="s">
        <v>64</v>
      </c>
      <c r="C4" s="14" t="s">
        <v>65</v>
      </c>
      <c r="D4" s="14" t="s">
        <v>66</v>
      </c>
      <c r="E4" s="14" t="s">
        <v>67</v>
      </c>
      <c r="F4" s="14" t="s">
        <v>68</v>
      </c>
      <c r="G4" s="14" t="s">
        <v>69</v>
      </c>
    </row>
    <row r="5" spans="1:7" x14ac:dyDescent="0.35">
      <c r="A5" s="3" t="s">
        <v>98</v>
      </c>
      <c r="B5" s="35">
        <f>Forecast!C19</f>
        <v>564.61854793265252</v>
      </c>
      <c r="C5" s="35">
        <f>Forecast!D19</f>
        <v>631.14878250552761</v>
      </c>
      <c r="D5" s="35">
        <f>Forecast!E19</f>
        <v>665.58461602689852</v>
      </c>
      <c r="E5" s="35">
        <f>Forecast!F19</f>
        <v>693.69529801524368</v>
      </c>
      <c r="F5" s="35">
        <f>Forecast!G19</f>
        <v>714.44271752035536</v>
      </c>
      <c r="G5" s="35">
        <f>Forecast!H19</f>
        <v>727.00399709665089</v>
      </c>
    </row>
    <row r="6" spans="1:7" x14ac:dyDescent="0.35">
      <c r="A6" s="11" t="s">
        <v>124</v>
      </c>
      <c r="B6" s="36">
        <f>1-0.5*Inputs!$B$18</f>
        <v>1</v>
      </c>
      <c r="C6" s="36">
        <f>2-0.5*Inputs!$B$18</f>
        <v>2</v>
      </c>
      <c r="D6" s="36">
        <f>3-0.5*Inputs!$B$18</f>
        <v>3</v>
      </c>
      <c r="E6" s="36">
        <f>4-0.5*Inputs!$B$18</f>
        <v>4</v>
      </c>
      <c r="F6" s="36">
        <f>5-0.5*Inputs!$B$18</f>
        <v>5</v>
      </c>
      <c r="G6" s="36">
        <f>6-0.5*Inputs!$B$18</f>
        <v>6</v>
      </c>
    </row>
    <row r="7" spans="1:7" x14ac:dyDescent="0.35">
      <c r="A7" s="11" t="s">
        <v>125</v>
      </c>
      <c r="B7" s="37">
        <f>1/(1+WACC!$B$17)^B6</f>
        <v>0.92156306167551016</v>
      </c>
      <c r="C7" s="37">
        <f>1/(1+WACC!$B$17)^C6</f>
        <v>0.84927847664474021</v>
      </c>
      <c r="D7" s="37">
        <f>1/(1+WACC!$B$17)^D6</f>
        <v>0.78266367315184016</v>
      </c>
      <c r="E7" s="37">
        <f>1/(1+WACC!$B$17)^E6</f>
        <v>0.72127393089201064</v>
      </c>
      <c r="F7" s="37">
        <f>1/(1+WACC!$B$17)^F6</f>
        <v>0.66469941205957161</v>
      </c>
      <c r="G7" s="37">
        <f>1/(1+WACC!$B$17)^G6</f>
        <v>0.61256242527153038</v>
      </c>
    </row>
    <row r="8" spans="1:7" x14ac:dyDescent="0.35">
      <c r="A8" s="3" t="s">
        <v>126</v>
      </c>
      <c r="B8" s="27">
        <f t="shared" ref="B8:G8" si="0">B5*B7</f>
        <v>520.33159771159603</v>
      </c>
      <c r="C8" s="27">
        <f t="shared" si="0"/>
        <v>536.02107654247698</v>
      </c>
      <c r="D8" s="27">
        <f t="shared" si="0"/>
        <v>520.92890037296957</v>
      </c>
      <c r="E8" s="27">
        <f t="shared" si="0"/>
        <v>500.34433444075961</v>
      </c>
      <c r="F8" s="27">
        <f t="shared" si="0"/>
        <v>474.88965428602279</v>
      </c>
      <c r="G8" s="27">
        <f t="shared" si="0"/>
        <v>445.33533164362109</v>
      </c>
    </row>
    <row r="10" spans="1:7" x14ac:dyDescent="0.35">
      <c r="A10" s="3" t="s">
        <v>127</v>
      </c>
      <c r="B10" s="27">
        <f>SUM(B8:G8)</f>
        <v>2997.8508949974462</v>
      </c>
    </row>
    <row r="11" spans="1:7" x14ac:dyDescent="0.35">
      <c r="A11" s="11" t="s">
        <v>11</v>
      </c>
      <c r="B11" s="7">
        <f>Inputs!$B$11</f>
        <v>1.4999999999999999E-2</v>
      </c>
    </row>
    <row r="12" spans="1:7" x14ac:dyDescent="0.35">
      <c r="A12" s="11" t="s">
        <v>10</v>
      </c>
      <c r="B12" s="7">
        <f>WACC!$B$17</f>
        <v>8.5112936473259099E-2</v>
      </c>
    </row>
    <row r="13" spans="1:7" x14ac:dyDescent="0.35">
      <c r="A13" s="11" t="s">
        <v>128</v>
      </c>
      <c r="B13" s="28">
        <f>IF(Inputs!$B$19=1,Forecast!$H$14*(1+B11)*(1-B11/Inputs!$B$20),$G$5*(1+B11))</f>
        <v>737.90905705310058</v>
      </c>
    </row>
    <row r="14" spans="1:7" x14ac:dyDescent="0.35">
      <c r="A14" s="3" t="s">
        <v>129</v>
      </c>
      <c r="B14" s="27">
        <f>B13/(B12-B11)</f>
        <v>10524.577833571944</v>
      </c>
    </row>
    <row r="15" spans="1:7" x14ac:dyDescent="0.35">
      <c r="A15" s="3" t="s">
        <v>130</v>
      </c>
      <c r="B15" s="27">
        <f>B14/(1+B12)^6</f>
        <v>6446.9609226918192</v>
      </c>
    </row>
    <row r="16" spans="1:7" x14ac:dyDescent="0.35">
      <c r="A16" s="3" t="s">
        <v>131</v>
      </c>
      <c r="B16" s="27">
        <f>B10+B15</f>
        <v>9444.8118176892658</v>
      </c>
    </row>
    <row r="17" spans="1:2" x14ac:dyDescent="0.35">
      <c r="A17" s="11" t="s">
        <v>132</v>
      </c>
      <c r="B17" s="31">
        <f>-Inputs!$B$8</f>
        <v>-1003</v>
      </c>
    </row>
    <row r="18" spans="1:2" x14ac:dyDescent="0.35">
      <c r="A18" s="11" t="s">
        <v>133</v>
      </c>
      <c r="B18" s="31">
        <f>-Inputs!$B$9</f>
        <v>0</v>
      </c>
    </row>
    <row r="19" spans="1:2" x14ac:dyDescent="0.35">
      <c r="A19" s="3" t="s">
        <v>134</v>
      </c>
      <c r="B19" s="27">
        <f>B16+B17+B18</f>
        <v>8441.8118176892658</v>
      </c>
    </row>
    <row r="20" spans="1:2" x14ac:dyDescent="0.35">
      <c r="A20" s="11" t="s">
        <v>29</v>
      </c>
      <c r="B20" s="38">
        <f>Inputs!$B$7</f>
        <v>193.307366</v>
      </c>
    </row>
    <row r="21" spans="1:2" x14ac:dyDescent="0.35">
      <c r="A21" s="3" t="s">
        <v>135</v>
      </c>
      <c r="B21" s="39">
        <f>B19/B20/Inputs!$B$6</f>
        <v>43.670409422935627</v>
      </c>
    </row>
    <row r="22" spans="1:2" x14ac:dyDescent="0.35">
      <c r="A22" s="11" t="s">
        <v>136</v>
      </c>
      <c r="B22" s="4">
        <f>Inputs!$B$5</f>
        <v>44.35</v>
      </c>
    </row>
    <row r="23" spans="1:2" x14ac:dyDescent="0.35">
      <c r="A23" s="3" t="s">
        <v>137</v>
      </c>
      <c r="B23" s="40">
        <f>B21/B22-1</f>
        <v>-1.5323350102917077E-2</v>
      </c>
    </row>
    <row r="24" spans="1:2" x14ac:dyDescent="0.35">
      <c r="A24" s="11" t="s">
        <v>138</v>
      </c>
      <c r="B24" s="34">
        <f>B15/B16</f>
        <v>0.68259284008361643</v>
      </c>
    </row>
    <row r="25" spans="1:2" x14ac:dyDescent="0.35">
      <c r="A25" s="11" t="s">
        <v>139</v>
      </c>
      <c r="B25" s="29">
        <f>B14/Forecast!H8</f>
        <v>8.4445533136202933</v>
      </c>
    </row>
    <row r="26" spans="1:2" x14ac:dyDescent="0.35">
      <c r="A26" s="11" t="s">
        <v>140</v>
      </c>
      <c r="B26" s="4">
        <f>Inputs!$B$24*B21+(1-Inputs!$B$24)*Inputs!$B$25</f>
        <v>43.670409422935627</v>
      </c>
    </row>
    <row r="27" spans="1:2" x14ac:dyDescent="0.35">
      <c r="A27" s="11" t="s">
        <v>115</v>
      </c>
      <c r="B27" s="7">
        <f>WACC!$B$9</f>
        <v>9.2439000000000007E-2</v>
      </c>
    </row>
    <row r="28" spans="1:2" x14ac:dyDescent="0.35">
      <c r="A28" s="11" t="s">
        <v>52</v>
      </c>
      <c r="B28" s="41">
        <f>IF(Inputs!$B$22&gt;0,Inputs!$B$21,0)</f>
        <v>0.65698479384381037</v>
      </c>
    </row>
    <row r="29" spans="1:2" x14ac:dyDescent="0.35">
      <c r="A29" s="11" t="s">
        <v>141</v>
      </c>
      <c r="B29" s="41">
        <f>IF(B26&lt;=0,0,B26*(1+B27)^(Inputs!$B$22/12)-B28)</f>
        <v>47.05027360573856</v>
      </c>
    </row>
    <row r="30" spans="1:2" x14ac:dyDescent="0.35">
      <c r="A30" s="3" t="s">
        <v>5</v>
      </c>
      <c r="B30" s="39">
        <f>IF(Inputs!$B$23&gt;0,MROUND(B29,Inputs!$B$23),B29)</f>
        <v>47</v>
      </c>
    </row>
    <row r="31" spans="1:2" x14ac:dyDescent="0.35">
      <c r="A31" s="3" t="s">
        <v>6</v>
      </c>
      <c r="B31" s="40">
        <f>B30/B22-1</f>
        <v>5.9751972942502896E-2</v>
      </c>
    </row>
    <row r="32" spans="1:2" x14ac:dyDescent="0.35">
      <c r="A32" s="3" t="s">
        <v>142</v>
      </c>
      <c r="B32" s="40">
        <f>(B30+B28)/B22-1</f>
        <v>7.4565609782273112E-2</v>
      </c>
    </row>
    <row r="33" spans="1:8" x14ac:dyDescent="0.35">
      <c r="A33" s="3" t="s">
        <v>8</v>
      </c>
      <c r="B33" s="3" t="str">
        <f>IF(B26&lt;=0,"NOT RATED",IF(B32&gt;=Inputs!$B$26,"BUY",IF(B32&lt;=Inputs!$B$27,"SELL","HOLD")))</f>
        <v>HOLD</v>
      </c>
    </row>
    <row r="36" spans="1:8" x14ac:dyDescent="0.35">
      <c r="A36" s="9" t="s">
        <v>143</v>
      </c>
    </row>
    <row r="37" spans="1:8" x14ac:dyDescent="0.35">
      <c r="A37" s="14" t="s">
        <v>144</v>
      </c>
      <c r="B37" s="42">
        <f>WACC!$B$17+(-3)*0.005</f>
        <v>7.0112936473259099E-2</v>
      </c>
      <c r="C37" s="42">
        <f>WACC!$B$17+(-2)*0.005</f>
        <v>7.5112936473259104E-2</v>
      </c>
      <c r="D37" s="42">
        <f>WACC!$B$17+(-1)*0.005</f>
        <v>8.0112936473259094E-2</v>
      </c>
      <c r="E37" s="42">
        <f>WACC!$B$17+(0)*0.005</f>
        <v>8.5112936473259099E-2</v>
      </c>
      <c r="F37" s="42">
        <f>WACC!$B$17+(1)*0.005</f>
        <v>9.0112936473259103E-2</v>
      </c>
      <c r="G37" s="42">
        <f>WACC!$B$17+(2)*0.005</f>
        <v>9.5112936473259094E-2</v>
      </c>
      <c r="H37" s="42">
        <f>WACC!$B$17+(3)*0.005</f>
        <v>0.1001129364732591</v>
      </c>
    </row>
    <row r="38" spans="1:8" x14ac:dyDescent="0.35">
      <c r="A38" s="42">
        <f>Inputs!$B$11+(-3)*0.0025</f>
        <v>7.4999999999999997E-3</v>
      </c>
      <c r="B38" s="43">
        <f>IF(B$37&lt;=$A38,"n.m.",(NPV(B$37,$B$5:$G$5)*(1+B$37)^(0.5*Inputs!$B$18)+IF(Inputs!$B$19=1,Forecast!$H$14*(1+$A38)*(1-$A38/Inputs!$B$20),$G$5*(1+$A38))/(B$37-$A38)/(1+B$37)^6-Inputs!$B$8-Inputs!$B$9)/Inputs!$B$7/Inputs!$B$6)</f>
        <v>51.375220457777267</v>
      </c>
      <c r="C38" s="43">
        <f>IF(C$37&lt;=$A38,"n.m.",(NPV(C$37,$B$5:$G$5)*(1+C$37)^(0.5*Inputs!$B$18)+IF(Inputs!$B$19=1,Forecast!$H$14*(1+$A38)*(1-$A38/Inputs!$B$20),$G$5*(1+$A38))/(C$37-$A38)/(1+C$37)^6-Inputs!$B$8-Inputs!$B$9)/Inputs!$B$7/Inputs!$B$6)</f>
        <v>47.107327249239233</v>
      </c>
      <c r="D38" s="43">
        <f>IF(D$37&lt;=$A38,"n.m.",(NPV(D$37,$B$5:$G$5)*(1+D$37)^(0.5*Inputs!$B$18)+IF(Inputs!$B$19=1,Forecast!$H$14*(1+$A38)*(1-$A38/Inputs!$B$20),$G$5*(1+$A38))/(D$37-$A38)/(1+D$37)^6-Inputs!$B$8-Inputs!$B$9)/Inputs!$B$7/Inputs!$B$6)</f>
        <v>43.428543980439926</v>
      </c>
      <c r="E38" s="43">
        <f>IF(E$37&lt;=$A38,"n.m.",(NPV(E$37,$B$5:$G$5)*(1+E$37)^(0.5*Inputs!$B$18)+IF(Inputs!$B$19=1,Forecast!$H$14*(1+$A38)*(1-$A38/Inputs!$B$20),$G$5*(1+$A38))/(E$37-$A38)/(1+E$37)^6-Inputs!$B$8-Inputs!$B$9)/Inputs!$B$7/Inputs!$B$6)</f>
        <v>40.224985367062104</v>
      </c>
      <c r="F38" s="43">
        <f>IF(F$37&lt;=$A38,"n.m.",(NPV(F$37,$B$5:$G$5)*(1+F$37)^(0.5*Inputs!$B$18)+IF(Inputs!$B$19=1,Forecast!$H$14*(1+$A38)*(1-$A38/Inputs!$B$20),$G$5*(1+$A38))/(F$37-$A38)/(1+F$37)^6-Inputs!$B$8-Inputs!$B$9)/Inputs!$B$7/Inputs!$B$6)</f>
        <v>37.410337766460806</v>
      </c>
      <c r="G38" s="43">
        <f>IF(G$37&lt;=$A38,"n.m.",(NPV(G$37,$B$5:$G$5)*(1+G$37)^(0.5*Inputs!$B$18)+IF(Inputs!$B$19=1,Forecast!$H$14*(1+$A38)*(1-$A38/Inputs!$B$20),$G$5*(1+$A38))/(G$37-$A38)/(1+G$37)^6-Inputs!$B$8-Inputs!$B$9)/Inputs!$B$7/Inputs!$B$6)</f>
        <v>34.917991692956271</v>
      </c>
      <c r="H38" s="43">
        <f>IF(H$37&lt;=$A38,"n.m.",(NPV(H$37,$B$5:$G$5)*(1+H$37)^(0.5*Inputs!$B$18)+IF(Inputs!$B$19=1,Forecast!$H$14*(1+$A38)*(1-$A38/Inputs!$B$20),$G$5*(1+$A38))/(H$37-$A38)/(1+H$37)^6-Inputs!$B$8-Inputs!$B$9)/Inputs!$B$7/Inputs!$B$6)</f>
        <v>32.695722839264512</v>
      </c>
    </row>
    <row r="39" spans="1:8" x14ac:dyDescent="0.35">
      <c r="A39" s="42">
        <f>Inputs!$B$11+(-2)*0.0025</f>
        <v>9.9999999999999985E-3</v>
      </c>
      <c r="B39" s="43">
        <f>IF(B$37&lt;=$A39,"n.m.",(NPV(B$37,$B$5:$G$5)*(1+B$37)^(0.5*Inputs!$B$18)+IF(Inputs!$B$19=1,Forecast!$H$14*(1+$A39)*(1-$A39/Inputs!$B$20),$G$5*(1+$A39))/(B$37-$A39)/(1+B$37)^6-Inputs!$B$8-Inputs!$B$9)/Inputs!$B$7/Inputs!$B$6)</f>
        <v>53.155336513700654</v>
      </c>
      <c r="C39" s="43">
        <f>IF(C$37&lt;=$A39,"n.m.",(NPV(C$37,$B$5:$G$5)*(1+C$37)^(0.5*Inputs!$B$18)+IF(Inputs!$B$19=1,Forecast!$H$14*(1+$A39)*(1-$A39/Inputs!$B$20),$G$5*(1+$A39))/(C$37-$A39)/(1+C$37)^6-Inputs!$B$8-Inputs!$B$9)/Inputs!$B$7/Inputs!$B$6)</f>
        <v>48.594155780621115</v>
      </c>
      <c r="D39" s="43">
        <f>IF(D$37&lt;=$A39,"n.m.",(NPV(D$37,$B$5:$G$5)*(1+D$37)^(0.5*Inputs!$B$18)+IF(Inputs!$B$19=1,Forecast!$H$14*(1+$A39)*(1-$A39/Inputs!$B$20),$G$5*(1+$A39))/(D$37-$A39)/(1+D$37)^6-Inputs!$B$8-Inputs!$B$9)/Inputs!$B$7/Inputs!$B$6)</f>
        <v>44.684777592434713</v>
      </c>
      <c r="E39" s="43">
        <f>IF(E$37&lt;=$A39,"n.m.",(NPV(E$37,$B$5:$G$5)*(1+E$37)^(0.5*Inputs!$B$18)+IF(Inputs!$B$19=1,Forecast!$H$14*(1+$A39)*(1-$A39/Inputs!$B$20),$G$5*(1+$A39))/(E$37-$A39)/(1+E$37)^6-Inputs!$B$8-Inputs!$B$9)/Inputs!$B$7/Inputs!$B$6)</f>
        <v>41.297010193033756</v>
      </c>
      <c r="F39" s="43">
        <f>IF(F$37&lt;=$A39,"n.m.",(NPV(F$37,$B$5:$G$5)*(1+F$37)^(0.5*Inputs!$B$18)+IF(Inputs!$B$19=1,Forecast!$H$14*(1+$A39)*(1-$A39/Inputs!$B$20),$G$5*(1+$A39))/(F$37-$A39)/(1+F$37)^6-Inputs!$B$8-Inputs!$B$9)/Inputs!$B$7/Inputs!$B$6)</f>
        <v>38.333164626099553</v>
      </c>
      <c r="G39" s="43">
        <f>IF(G$37&lt;=$A39,"n.m.",(NPV(G$37,$B$5:$G$5)*(1+G$37)^(0.5*Inputs!$B$18)+IF(Inputs!$B$19=1,Forecast!$H$14*(1+$A39)*(1-$A39/Inputs!$B$20),$G$5*(1+$A39))/(G$37-$A39)/(1+G$37)^6-Inputs!$B$8-Inputs!$B$9)/Inputs!$B$7/Inputs!$B$6)</f>
        <v>35.718507748633371</v>
      </c>
      <c r="H39" s="43">
        <f>IF(H$37&lt;=$A39,"n.m.",(NPV(H$37,$B$5:$G$5)*(1+H$37)^(0.5*Inputs!$B$18)+IF(Inputs!$B$19=1,Forecast!$H$14*(1+$A39)*(1-$A39/Inputs!$B$20),$G$5*(1+$A39))/(H$37-$A39)/(1+H$37)^6-Inputs!$B$8-Inputs!$B$9)/Inputs!$B$7/Inputs!$B$6)</f>
        <v>33.394893585875252</v>
      </c>
    </row>
    <row r="40" spans="1:8" x14ac:dyDescent="0.35">
      <c r="A40" s="42">
        <f>Inputs!$B$11+(-1)*0.0025</f>
        <v>1.2499999999999999E-2</v>
      </c>
      <c r="B40" s="43">
        <f>IF(B$37&lt;=$A40,"n.m.",(NPV(B$37,$B$5:$G$5)*(1+B$37)^(0.5*Inputs!$B$18)+IF(Inputs!$B$19=1,Forecast!$H$14*(1+$A40)*(1-$A40/Inputs!$B$20),$G$5*(1+$A40))/(B$37-$A40)/(1+B$37)^6-Inputs!$B$8-Inputs!$B$9)/Inputs!$B$7/Inputs!$B$6)</f>
        <v>55.089941835828142</v>
      </c>
      <c r="C40" s="43">
        <f>IF(C$37&lt;=$A40,"n.m.",(NPV(C$37,$B$5:$G$5)*(1+C$37)^(0.5*Inputs!$B$18)+IF(Inputs!$B$19=1,Forecast!$H$14*(1+$A40)*(1-$A40/Inputs!$B$20),$G$5*(1+$A40))/(C$37-$A40)/(1+C$37)^6-Inputs!$B$8-Inputs!$B$9)/Inputs!$B$7/Inputs!$B$6)</f>
        <v>50.199716048216708</v>
      </c>
      <c r="D40" s="43">
        <f>IF(D$37&lt;=$A40,"n.m.",(NPV(D$37,$B$5:$G$5)*(1+D$37)^(0.5*Inputs!$B$18)+IF(Inputs!$B$19=1,Forecast!$H$14*(1+$A40)*(1-$A40/Inputs!$B$20),$G$5*(1+$A40))/(D$37-$A40)/(1+D$37)^6-Inputs!$B$8-Inputs!$B$9)/Inputs!$B$7/Inputs!$B$6)</f>
        <v>46.033910113833592</v>
      </c>
      <c r="E40" s="43">
        <f>IF(E$37&lt;=$A40,"n.m.",(NPV(E$37,$B$5:$G$5)*(1+E$37)^(0.5*Inputs!$B$18)+IF(Inputs!$B$19=1,Forecast!$H$14*(1+$A40)*(1-$A40/Inputs!$B$20),$G$5*(1+$A40))/(E$37-$A40)/(1+E$37)^6-Inputs!$B$8-Inputs!$B$9)/Inputs!$B$7/Inputs!$B$6)</f>
        <v>42.442852776421589</v>
      </c>
      <c r="F40" s="43">
        <f>IF(F$37&lt;=$A40,"n.m.",(NPV(F$37,$B$5:$G$5)*(1+F$37)^(0.5*Inputs!$B$18)+IF(Inputs!$B$19=1,Forecast!$H$14*(1+$A40)*(1-$A40/Inputs!$B$20),$G$5*(1+$A40))/(F$37-$A40)/(1+F$37)^6-Inputs!$B$8-Inputs!$B$9)/Inputs!$B$7/Inputs!$B$6)</f>
        <v>39.315442068435722</v>
      </c>
      <c r="G40" s="43">
        <f>IF(G$37&lt;=$A40,"n.m.",(NPV(G$37,$B$5:$G$5)*(1+G$37)^(0.5*Inputs!$B$18)+IF(Inputs!$B$19=1,Forecast!$H$14*(1+$A40)*(1-$A40/Inputs!$B$20),$G$5*(1+$A40))/(G$37-$A40)/(1+G$37)^6-Inputs!$B$8-Inputs!$B$9)/Inputs!$B$7/Inputs!$B$6)</f>
        <v>36.567473604659604</v>
      </c>
      <c r="H40" s="43">
        <f>IF(H$37&lt;=$A40,"n.m.",(NPV(H$37,$B$5:$G$5)*(1+H$37)^(0.5*Inputs!$B$18)+IF(Inputs!$B$19=1,Forecast!$H$14*(1+$A40)*(1-$A40/Inputs!$B$20),$G$5*(1+$A40))/(H$37-$A40)/(1+H$37)^6-Inputs!$B$8-Inputs!$B$9)/Inputs!$B$7/Inputs!$B$6)</f>
        <v>34.133965446108867</v>
      </c>
    </row>
    <row r="41" spans="1:8" x14ac:dyDescent="0.35">
      <c r="A41" s="42">
        <f>Inputs!$B$11+(0)*0.0025</f>
        <v>1.4999999999999999E-2</v>
      </c>
      <c r="B41" s="43">
        <f>IF(B$37&lt;=$A41,"n.m.",(NPV(B$37,$B$5:$G$5)*(1+B$37)^(0.5*Inputs!$B$18)+IF(Inputs!$B$19=1,Forecast!$H$14*(1+$A41)*(1-$A41/Inputs!$B$20),$G$5*(1+$A41))/(B$37-$A41)/(1+B$37)^6-Inputs!$B$8-Inputs!$B$9)/Inputs!$B$7/Inputs!$B$6)</f>
        <v>57.200059972725192</v>
      </c>
      <c r="C41" s="43">
        <f>IF(C$37&lt;=$A41,"n.m.",(NPV(C$37,$B$5:$G$5)*(1+C$37)^(0.5*Inputs!$B$18)+IF(Inputs!$B$19=1,Forecast!$H$14*(1+$A41)*(1-$A41/Inputs!$B$20),$G$5*(1+$A41))/(C$37-$A41)/(1+C$37)^6-Inputs!$B$8-Inputs!$B$9)/Inputs!$B$7/Inputs!$B$6)</f>
        <v>51.938821635820908</v>
      </c>
      <c r="D41" s="43">
        <f>IF(D$37&lt;=$A41,"n.m.",(NPV(D$37,$B$5:$G$5)*(1+D$37)^(0.5*Inputs!$B$18)+IF(Inputs!$B$19=1,Forecast!$H$14*(1+$A41)*(1-$A41/Inputs!$B$20),$G$5*(1+$A41))/(D$37-$A41)/(1+D$37)^6-Inputs!$B$8-Inputs!$B$9)/Inputs!$B$7/Inputs!$B$6)</f>
        <v>47.486642057595581</v>
      </c>
      <c r="E41" s="44">
        <f>IF(E$37&lt;=$A41,"n.m.",(NPV(E$37,$B$5:$G$5)*(1+E$37)^(0.5*Inputs!$B$18)+IF(Inputs!$B$19=1,Forecast!$H$14*(1+$A41)*(1-$A41/Inputs!$B$20),$G$5*(1+$A41))/(E$37-$A41)/(1+E$37)^6-Inputs!$B$8-Inputs!$B$9)/Inputs!$B$7/Inputs!$B$6)</f>
        <v>43.670409422935613</v>
      </c>
      <c r="F41" s="43">
        <f>IF(F$37&lt;=$A41,"n.m.",(NPV(F$37,$B$5:$G$5)*(1+F$37)^(0.5*Inputs!$B$18)+IF(Inputs!$B$19=1,Forecast!$H$14*(1+$A41)*(1-$A41/Inputs!$B$20),$G$5*(1+$A41))/(F$37-$A41)/(1+F$37)^6-Inputs!$B$8-Inputs!$B$9)/Inputs!$B$7/Inputs!$B$6)</f>
        <v>40.363106213013666</v>
      </c>
      <c r="G41" s="43">
        <f>IF(G$37&lt;=$A41,"n.m.",(NPV(G$37,$B$5:$G$5)*(1+G$37)^(0.5*Inputs!$B$18)+IF(Inputs!$B$19=1,Forecast!$H$14*(1+$A41)*(1-$A41/Inputs!$B$20),$G$5*(1+$A41))/(G$37-$A41)/(1+G$37)^6-Inputs!$B$8-Inputs!$B$9)/Inputs!$B$7/Inputs!$B$6)</f>
        <v>37.469425026650562</v>
      </c>
      <c r="H41" s="43">
        <f>IF(H$37&lt;=$A41,"n.m.",(NPV(H$37,$B$5:$G$5)*(1+H$37)^(0.5*Inputs!$B$18)+IF(Inputs!$B$19=1,Forecast!$H$14*(1+$A41)*(1-$A41/Inputs!$B$20),$G$5*(1+$A41))/(H$37-$A41)/(1+H$37)^6-Inputs!$B$8-Inputs!$B$9)/Inputs!$B$7/Inputs!$B$6)</f>
        <v>34.916454434857712</v>
      </c>
    </row>
    <row r="42" spans="1:8" x14ac:dyDescent="0.35">
      <c r="A42" s="42">
        <f>Inputs!$B$11+(1)*0.0025</f>
        <v>1.7499999999999998E-2</v>
      </c>
      <c r="B42" s="43">
        <f>IF(B$37&lt;=$A42,"n.m.",(NPV(B$37,$B$5:$G$5)*(1+B$37)^(0.5*Inputs!$B$18)+IF(Inputs!$B$19=1,Forecast!$H$14*(1+$A42)*(1-$A42/Inputs!$B$20),$G$5*(1+$A42))/(B$37-$A42)/(1+B$37)^6-Inputs!$B$8-Inputs!$B$9)/Inputs!$B$7/Inputs!$B$6)</f>
        <v>59.5107103625568</v>
      </c>
      <c r="C42" s="43">
        <f>IF(C$37&lt;=$A42,"n.m.",(NPV(C$37,$B$5:$G$5)*(1+C$37)^(0.5*Inputs!$B$18)+IF(Inputs!$B$19=1,Forecast!$H$14*(1+$A42)*(1-$A42/Inputs!$B$20),$G$5*(1+$A42))/(C$37-$A42)/(1+C$37)^6-Inputs!$B$8-Inputs!$B$9)/Inputs!$B$7/Inputs!$B$6)</f>
        <v>53.828857352495284</v>
      </c>
      <c r="D42" s="43">
        <f>IF(D$37&lt;=$A42,"n.m.",(NPV(D$37,$B$5:$G$5)*(1+D$37)^(0.5*Inputs!$B$18)+IF(Inputs!$B$19=1,Forecast!$H$14*(1+$A42)*(1-$A42/Inputs!$B$20),$G$5*(1+$A42))/(D$37-$A42)/(1+D$37)^6-Inputs!$B$8-Inputs!$B$9)/Inputs!$B$7/Inputs!$B$6)</f>
        <v>49.055382930629101</v>
      </c>
      <c r="E42" s="43">
        <f>IF(E$37&lt;=$A42,"n.m.",(NPV(E$37,$B$5:$G$5)*(1+E$37)^(0.5*Inputs!$B$18)+IF(Inputs!$B$19=1,Forecast!$H$14*(1+$A42)*(1-$A42/Inputs!$B$20),$G$5*(1+$A42))/(E$37-$A42)/(1+E$37)^6-Inputs!$B$8-Inputs!$B$9)/Inputs!$B$7/Inputs!$B$6)</f>
        <v>44.988744307353848</v>
      </c>
      <c r="F42" s="43">
        <f>IF(F$37&lt;=$A42,"n.m.",(NPV(F$37,$B$5:$G$5)*(1+F$37)^(0.5*Inputs!$B$18)+IF(Inputs!$B$19=1,Forecast!$H$14*(1+$A42)*(1-$A42/Inputs!$B$20),$G$5*(1+$A42))/(F$37-$A42)/(1+F$37)^6-Inputs!$B$8-Inputs!$B$9)/Inputs!$B$7/Inputs!$B$6)</f>
        <v>41.482910681028578</v>
      </c>
      <c r="G42" s="43">
        <f>IF(G$37&lt;=$A42,"n.m.",(NPV(G$37,$B$5:$G$5)*(1+G$37)^(0.5*Inputs!$B$18)+IF(Inputs!$B$19=1,Forecast!$H$14*(1+$A42)*(1-$A42/Inputs!$B$20),$G$5*(1+$A42))/(G$37-$A42)/(1+G$37)^6-Inputs!$B$8-Inputs!$B$9)/Inputs!$B$7/Inputs!$B$6)</f>
        <v>38.42948218867506</v>
      </c>
      <c r="H42" s="43">
        <f>IF(H$37&lt;=$A42,"n.m.",(NPV(H$37,$B$5:$G$5)*(1+H$37)^(0.5*Inputs!$B$18)+IF(Inputs!$B$19=1,Forecast!$H$14*(1+$A42)*(1-$A42/Inputs!$B$20),$G$5*(1+$A42))/(H$37-$A42)/(1+H$37)^6-Inputs!$B$8-Inputs!$B$9)/Inputs!$B$7/Inputs!$B$6)</f>
        <v>35.746302168020769</v>
      </c>
    </row>
    <row r="43" spans="1:8" x14ac:dyDescent="0.35">
      <c r="A43" s="42">
        <f>Inputs!$B$11+(2)*0.0025</f>
        <v>0.02</v>
      </c>
      <c r="B43" s="43">
        <f>IF(B$37&lt;=$A43,"n.m.",(NPV(B$37,$B$5:$G$5)*(1+B$37)^(0.5*Inputs!$B$18)+IF(Inputs!$B$19=1,Forecast!$H$14*(1+$A43)*(1-$A43/Inputs!$B$20),$G$5*(1+$A43))/(B$37-$A43)/(1+B$37)^6-Inputs!$B$8-Inputs!$B$9)/Inputs!$B$7/Inputs!$B$6)</f>
        <v>62.051905054164116</v>
      </c>
      <c r="C43" s="43">
        <f>IF(C$37&lt;=$A43,"n.m.",(NPV(C$37,$B$5:$G$5)*(1+C$37)^(0.5*Inputs!$B$18)+IF(Inputs!$B$19=1,Forecast!$H$14*(1+$A43)*(1-$A43/Inputs!$B$20),$G$5*(1+$A43))/(C$37-$A43)/(1+C$37)^6-Inputs!$B$8-Inputs!$B$9)/Inputs!$B$7/Inputs!$B$6)</f>
        <v>55.890362404467318</v>
      </c>
      <c r="D43" s="43">
        <f>IF(D$37&lt;=$A43,"n.m.",(NPV(D$37,$B$5:$G$5)*(1+D$37)^(0.5*Inputs!$B$18)+IF(Inputs!$B$19=1,Forecast!$H$14*(1+$A43)*(1-$A43/Inputs!$B$20),$G$5*(1+$A43))/(D$37-$A43)/(1+D$37)^6-Inputs!$B$8-Inputs!$B$9)/Inputs!$B$7/Inputs!$B$6)</f>
        <v>50.754606605291471</v>
      </c>
      <c r="E43" s="43">
        <f>IF(E$37&lt;=$A43,"n.m.",(NPV(E$37,$B$5:$G$5)*(1+E$37)^(0.5*Inputs!$B$18)+IF(Inputs!$B$19=1,Forecast!$H$14*(1+$A43)*(1-$A43/Inputs!$B$20),$G$5*(1+$A43))/(E$37-$A43)/(1+E$37)^6-Inputs!$B$8-Inputs!$B$9)/Inputs!$B$7/Inputs!$B$6)</f>
        <v>46.408313674182459</v>
      </c>
      <c r="F43" s="43">
        <f>IF(F$37&lt;=$A43,"n.m.",(NPV(F$37,$B$5:$G$5)*(1+F$37)^(0.5*Inputs!$B$18)+IF(Inputs!$B$19=1,Forecast!$H$14*(1+$A43)*(1-$A43/Inputs!$B$20),$G$5*(1+$A43))/(F$37-$A43)/(1+F$37)^6-Inputs!$B$8-Inputs!$B$9)/Inputs!$B$7/Inputs!$B$6)</f>
        <v>42.682572342618748</v>
      </c>
      <c r="G43" s="43">
        <f>IF(G$37&lt;=$A43,"n.m.",(NPV(G$37,$B$5:$G$5)*(1+G$37)^(0.5*Inputs!$B$18)+IF(Inputs!$B$19=1,Forecast!$H$14*(1+$A43)*(1-$A43/Inputs!$B$20),$G$5*(1+$A43))/(G$37-$A43)/(1+G$37)^6-Inputs!$B$8-Inputs!$B$9)/Inputs!$B$7/Inputs!$B$6)</f>
        <v>39.453446928215598</v>
      </c>
      <c r="H43" s="43">
        <f>IF(H$37&lt;=$A43,"n.m.",(NPV(H$37,$B$5:$G$5)*(1+H$37)^(0.5*Inputs!$B$18)+IF(Inputs!$B$19=1,Forecast!$H$14*(1+$A43)*(1-$A43/Inputs!$B$20),$G$5*(1+$A43))/(H$37-$A43)/(1+H$37)^6-Inputs!$B$8-Inputs!$B$9)/Inputs!$B$7/Inputs!$B$6)</f>
        <v>36.627942268914602</v>
      </c>
    </row>
    <row r="44" spans="1:8" x14ac:dyDescent="0.35">
      <c r="A44" s="42">
        <f>Inputs!$B$11+(3)*0.0025</f>
        <v>2.2499999999999999E-2</v>
      </c>
      <c r="B44" s="43">
        <f>IF(B$37&lt;=$A44,"n.m.",(NPV(B$37,$B$5:$G$5)*(1+B$37)^(0.5*Inputs!$B$18)+IF(Inputs!$B$19=1,Forecast!$H$14*(1+$A44)*(1-$A44/Inputs!$B$20),$G$5*(1+$A44))/(B$37-$A44)/(1+B$37)^6-Inputs!$B$8-Inputs!$B$9)/Inputs!$B$7/Inputs!$B$6)</f>
        <v>64.859959435578034</v>
      </c>
      <c r="C44" s="43">
        <f>IF(C$37&lt;=$A44,"n.m.",(NPV(C$37,$B$5:$G$5)*(1+C$37)^(0.5*Inputs!$B$18)+IF(Inputs!$B$19=1,Forecast!$H$14*(1+$A44)*(1-$A44/Inputs!$B$20),$G$5*(1+$A44))/(C$37-$A44)/(1+C$37)^6-Inputs!$B$8-Inputs!$B$9)/Inputs!$B$7/Inputs!$B$6)</f>
        <v>58.147779829912352</v>
      </c>
      <c r="D44" s="43">
        <f>IF(D$37&lt;=$A44,"n.m.",(NPV(D$37,$B$5:$G$5)*(1+D$37)^(0.5*Inputs!$B$18)+IF(Inputs!$B$19=1,Forecast!$H$14*(1+$A44)*(1-$A44/Inputs!$B$20),$G$5*(1+$A44))/(D$37-$A44)/(1+D$37)^6-Inputs!$B$8-Inputs!$B$9)/Inputs!$B$7/Inputs!$B$6)</f>
        <v>52.601299214769462</v>
      </c>
      <c r="E44" s="43">
        <f>IF(E$37&lt;=$A44,"n.m.",(NPV(E$37,$B$5:$G$5)*(1+E$37)^(0.5*Inputs!$B$18)+IF(Inputs!$B$19=1,Forecast!$H$14*(1+$A44)*(1-$A44/Inputs!$B$20),$G$5*(1+$A44))/(E$37-$A44)/(1+E$37)^6-Inputs!$B$8-Inputs!$B$9)/Inputs!$B$7/Inputs!$B$6)</f>
        <v>47.94124374941952</v>
      </c>
      <c r="F44" s="43">
        <f>IF(F$37&lt;=$A44,"n.m.",(NPV(F$37,$B$5:$G$5)*(1+F$37)^(0.5*Inputs!$B$18)+IF(Inputs!$B$19=1,Forecast!$H$14*(1+$A44)*(1-$A44/Inputs!$B$20),$G$5*(1+$A44))/(F$37-$A44)/(1+F$37)^6-Inputs!$B$8-Inputs!$B$9)/Inputs!$B$7/Inputs!$B$6)</f>
        <v>43.97094939834539</v>
      </c>
      <c r="G44" s="43">
        <f>IF(G$37&lt;=$A44,"n.m.",(NPV(G$37,$B$5:$G$5)*(1+G$37)^(0.5*Inputs!$B$18)+IF(Inputs!$B$19=1,Forecast!$H$14*(1+$A44)*(1-$A44/Inputs!$B$20),$G$5*(1+$A44))/(G$37-$A44)/(1+G$37)^6-Inputs!$B$8-Inputs!$B$9)/Inputs!$B$7/Inputs!$B$6)</f>
        <v>40.547920091549024</v>
      </c>
      <c r="H44" s="43">
        <f>IF(H$37&lt;=$A44,"n.m.",(NPV(H$37,$B$5:$G$5)*(1+H$37)^(0.5*Inputs!$B$18)+IF(Inputs!$B$19=1,Forecast!$H$14*(1+$A44)*(1-$A44/Inputs!$B$20),$G$5*(1+$A44))/(H$37-$A44)/(1+H$37)^6-Inputs!$B$8-Inputs!$B$9)/Inputs!$B$7/Inputs!$B$6)</f>
        <v>37.566379608835554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5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0" customWidth="1"/>
    <col min="2" max="10" width="13" customWidth="1"/>
  </cols>
  <sheetData>
    <row r="1" spans="1:10" ht="18" x14ac:dyDescent="0.4">
      <c r="A1" s="1" t="s">
        <v>145</v>
      </c>
    </row>
    <row r="2" spans="1:10" x14ac:dyDescent="0.35">
      <c r="A2" s="2" t="s">
        <v>146</v>
      </c>
    </row>
    <row r="4" spans="1:10" x14ac:dyDescent="0.35">
      <c r="A4" s="13" t="s">
        <v>147</v>
      </c>
      <c r="B4" s="14" t="s">
        <v>148</v>
      </c>
      <c r="C4" s="14" t="s">
        <v>149</v>
      </c>
      <c r="D4" s="14" t="s">
        <v>150</v>
      </c>
      <c r="E4" s="14" t="s">
        <v>151</v>
      </c>
      <c r="F4" s="14" t="s">
        <v>152</v>
      </c>
      <c r="G4" s="14" t="s">
        <v>10</v>
      </c>
      <c r="H4" s="14" t="s">
        <v>11</v>
      </c>
      <c r="I4" s="14" t="s">
        <v>153</v>
      </c>
      <c r="J4" s="14" t="s">
        <v>154</v>
      </c>
    </row>
    <row r="5" spans="1:10" x14ac:dyDescent="0.35">
      <c r="A5" s="3" t="s">
        <v>155</v>
      </c>
      <c r="B5" s="19">
        <v>0.25</v>
      </c>
      <c r="C5" s="19">
        <v>-0.02</v>
      </c>
      <c r="D5" s="19">
        <v>-0.02</v>
      </c>
      <c r="E5" s="21">
        <v>5.0000000000000001E-3</v>
      </c>
      <c r="F5" s="21">
        <v>-2.5000000000000001E-3</v>
      </c>
      <c r="G5" s="33">
        <f>WACC!$B$17+E5</f>
        <v>9.0112936473259103E-2</v>
      </c>
      <c r="H5" s="33">
        <f>Inputs!$B$11+F5</f>
        <v>1.2499999999999999E-2</v>
      </c>
      <c r="I5" s="45">
        <f>B25</f>
        <v>27.97183847602728</v>
      </c>
      <c r="J5" s="34">
        <f>I5/Inputs!$B$5-1</f>
        <v>-0.36929338272768253</v>
      </c>
    </row>
    <row r="6" spans="1:10" x14ac:dyDescent="0.35">
      <c r="A6" s="3" t="s">
        <v>156</v>
      </c>
      <c r="B6" s="19">
        <v>0.5</v>
      </c>
      <c r="C6" s="19">
        <v>0</v>
      </c>
      <c r="D6" s="19">
        <v>0</v>
      </c>
      <c r="E6" s="21">
        <v>0</v>
      </c>
      <c r="F6" s="21">
        <v>0</v>
      </c>
      <c r="G6" s="33">
        <f>WACC!$B$17+E6</f>
        <v>8.5112936473259099E-2</v>
      </c>
      <c r="H6" s="33">
        <f>Inputs!$B$11+F6</f>
        <v>1.4999999999999999E-2</v>
      </c>
      <c r="I6" s="45">
        <f>B40</f>
        <v>43.670409422935613</v>
      </c>
      <c r="J6" s="34">
        <f>I6/Inputs!$B$5-1</f>
        <v>-1.532335010291741E-2</v>
      </c>
    </row>
    <row r="7" spans="1:10" x14ac:dyDescent="0.35">
      <c r="A7" s="3" t="s">
        <v>157</v>
      </c>
      <c r="B7" s="19">
        <v>0.25</v>
      </c>
      <c r="C7" s="19">
        <v>0.02</v>
      </c>
      <c r="D7" s="19">
        <v>0.02</v>
      </c>
      <c r="E7" s="21">
        <v>-5.0000000000000001E-3</v>
      </c>
      <c r="F7" s="21">
        <v>2.5000000000000001E-3</v>
      </c>
      <c r="G7" s="33">
        <f>WACC!$B$17+E7</f>
        <v>8.0112936473259094E-2</v>
      </c>
      <c r="H7" s="33">
        <f>Inputs!$B$11+F7</f>
        <v>1.7499999999999998E-2</v>
      </c>
      <c r="I7" s="45">
        <f>B55</f>
        <v>65.363547050889636</v>
      </c>
      <c r="J7" s="34">
        <f>I7/Inputs!$B$5-1</f>
        <v>0.4738116584191574</v>
      </c>
    </row>
    <row r="8" spans="1:10" x14ac:dyDescent="0.35">
      <c r="A8" s="3" t="s">
        <v>158</v>
      </c>
      <c r="B8" s="40">
        <f>SUM(B5:B7)</f>
        <v>1</v>
      </c>
      <c r="I8" s="39">
        <f>IFERROR(SUMPRODUCT(B5:B7,I5:I7)/B8,"")</f>
        <v>45.169051093197041</v>
      </c>
      <c r="J8" s="40">
        <f>IFERROR(I8/Inputs!$B$5-1,"")</f>
        <v>1.8467893871410235E-2</v>
      </c>
    </row>
    <row r="12" spans="1:10" x14ac:dyDescent="0.35">
      <c r="A12" s="9" t="s">
        <v>159</v>
      </c>
      <c r="B12" s="46" t="str">
        <f>Forecast!B4</f>
        <v>2025A</v>
      </c>
      <c r="C12" s="14" t="s">
        <v>64</v>
      </c>
      <c r="D12" s="14" t="s">
        <v>65</v>
      </c>
      <c r="E12" s="14" t="s">
        <v>66</v>
      </c>
      <c r="F12" s="14" t="s">
        <v>67</v>
      </c>
      <c r="G12" s="14" t="s">
        <v>68</v>
      </c>
      <c r="H12" s="14" t="s">
        <v>69</v>
      </c>
    </row>
    <row r="13" spans="1:10" x14ac:dyDescent="0.35">
      <c r="A13" s="25" t="s">
        <v>70</v>
      </c>
      <c r="C13" s="26">
        <f>Inputs!B31+$C$5</f>
        <v>1.9699999999999999E-2</v>
      </c>
      <c r="D13" s="26">
        <f>Inputs!C31+$C$5</f>
        <v>4.2599999999999999E-2</v>
      </c>
      <c r="E13" s="26">
        <f>Inputs!D31+$C$5</f>
        <v>3.0700000000000002E-2</v>
      </c>
      <c r="F13" s="26">
        <f>Inputs!E31+$C$5</f>
        <v>1.8800000000000001E-2</v>
      </c>
      <c r="G13" s="26">
        <f>Inputs!F31+$C$5</f>
        <v>6.8999999999999999E-3</v>
      </c>
      <c r="H13" s="26">
        <f>Inputs!G31+$C$5</f>
        <v>-5.000000000000001E-3</v>
      </c>
    </row>
    <row r="14" spans="1:10" x14ac:dyDescent="0.35">
      <c r="A14" s="3" t="s">
        <v>84</v>
      </c>
      <c r="B14" s="31">
        <f>Forecast!B6</f>
        <v>5509</v>
      </c>
      <c r="C14" s="27">
        <f t="shared" ref="C14:H14" si="0">B14*(1+C13)</f>
        <v>5617.5273000000007</v>
      </c>
      <c r="D14" s="27">
        <f t="shared" si="0"/>
        <v>5856.8339629800003</v>
      </c>
      <c r="E14" s="27">
        <f t="shared" si="0"/>
        <v>6036.6387656434863</v>
      </c>
      <c r="F14" s="27">
        <f t="shared" si="0"/>
        <v>6150.1275744375835</v>
      </c>
      <c r="G14" s="27">
        <f t="shared" si="0"/>
        <v>6192.5634547012023</v>
      </c>
      <c r="H14" s="27">
        <f t="shared" si="0"/>
        <v>6161.6006374276967</v>
      </c>
    </row>
    <row r="15" spans="1:10" x14ac:dyDescent="0.35">
      <c r="A15" s="25" t="s">
        <v>71</v>
      </c>
      <c r="C15" s="26">
        <f>Inputs!B32+$D$5</f>
        <v>0.14945929388273732</v>
      </c>
      <c r="D15" s="26">
        <f>Inputs!C32+$D$5</f>
        <v>0.15156743510618992</v>
      </c>
      <c r="E15" s="26">
        <f>Inputs!D32+$D$5</f>
        <v>0.1536755763296424</v>
      </c>
      <c r="F15" s="26">
        <f>Inputs!E32+$D$5</f>
        <v>0.15578371755309492</v>
      </c>
      <c r="G15" s="26">
        <f>Inputs!F32+$D$5</f>
        <v>0.15789185877654752</v>
      </c>
      <c r="H15" s="26">
        <f>Inputs!G32+$D$5</f>
        <v>0.16</v>
      </c>
    </row>
    <row r="16" spans="1:10" x14ac:dyDescent="0.35">
      <c r="A16" s="3" t="s">
        <v>88</v>
      </c>
      <c r="C16" s="27">
        <f t="shared" ref="C16:H16" si="1">C14*C15</f>
        <v>839.59166362500002</v>
      </c>
      <c r="D16" s="27">
        <f t="shared" si="1"/>
        <v>887.70530161170029</v>
      </c>
      <c r="E16" s="27">
        <f t="shared" si="1"/>
        <v>927.68394140412386</v>
      </c>
      <c r="F16" s="27">
        <f t="shared" si="1"/>
        <v>958.08973697168528</v>
      </c>
      <c r="G16" s="27">
        <f t="shared" si="1"/>
        <v>977.75535445449145</v>
      </c>
      <c r="H16" s="27">
        <f t="shared" si="1"/>
        <v>985.85610198843153</v>
      </c>
    </row>
    <row r="17" spans="1:8" x14ac:dyDescent="0.35">
      <c r="A17" s="11" t="s">
        <v>91</v>
      </c>
      <c r="C17" s="28">
        <f>C14*Inputs!B33</f>
        <v>254.71823680674447</v>
      </c>
      <c r="D17" s="28">
        <f>D14*Inputs!C33</f>
        <v>265.56923369471178</v>
      </c>
      <c r="E17" s="28">
        <f>E14*Inputs!D33</f>
        <v>273.72220916913943</v>
      </c>
      <c r="F17" s="28">
        <f>F14*Inputs!E33</f>
        <v>278.86818670151922</v>
      </c>
      <c r="G17" s="28">
        <f>G14*Inputs!F33</f>
        <v>280.79237718975969</v>
      </c>
      <c r="H17" s="28">
        <f>H14*Inputs!G33</f>
        <v>279.38841530381092</v>
      </c>
    </row>
    <row r="18" spans="1:8" x14ac:dyDescent="0.35">
      <c r="A18" s="11" t="s">
        <v>92</v>
      </c>
      <c r="C18" s="28">
        <f t="shared" ref="C18:H18" si="2">C16-C17</f>
        <v>584.87342681825555</v>
      </c>
      <c r="D18" s="28">
        <f t="shared" si="2"/>
        <v>622.13606791698851</v>
      </c>
      <c r="E18" s="28">
        <f t="shared" si="2"/>
        <v>653.96173223498442</v>
      </c>
      <c r="F18" s="28">
        <f t="shared" si="2"/>
        <v>679.22155027016606</v>
      </c>
      <c r="G18" s="28">
        <f t="shared" si="2"/>
        <v>696.96297726473176</v>
      </c>
      <c r="H18" s="28">
        <f t="shared" si="2"/>
        <v>706.46768668462062</v>
      </c>
    </row>
    <row r="19" spans="1:8" x14ac:dyDescent="0.35">
      <c r="A19" s="11" t="s">
        <v>111</v>
      </c>
      <c r="C19" s="28">
        <f>-MAX(C18,0)*Inputs!$B$10</f>
        <v>-128.67215390001621</v>
      </c>
      <c r="D19" s="28">
        <f>-MAX(D18,0)*Inputs!$B$10</f>
        <v>-136.86993494173748</v>
      </c>
      <c r="E19" s="28">
        <f>-MAX(E18,0)*Inputs!$B$10</f>
        <v>-143.87158109169658</v>
      </c>
      <c r="F19" s="28">
        <f>-MAX(F18,0)*Inputs!$B$10</f>
        <v>-149.42874105943653</v>
      </c>
      <c r="G19" s="28">
        <f>-MAX(G18,0)*Inputs!$B$10</f>
        <v>-153.331854998241</v>
      </c>
      <c r="H19" s="28">
        <f>-MAX(H18,0)*Inputs!$B$10</f>
        <v>-155.42289107061654</v>
      </c>
    </row>
    <row r="20" spans="1:8" x14ac:dyDescent="0.35">
      <c r="A20" s="11" t="s">
        <v>95</v>
      </c>
      <c r="C20" s="28">
        <f t="shared" ref="C20:H20" si="3">C18+C19</f>
        <v>456.20127291823934</v>
      </c>
      <c r="D20" s="28">
        <f t="shared" si="3"/>
        <v>485.26613297525103</v>
      </c>
      <c r="E20" s="28">
        <f t="shared" si="3"/>
        <v>510.09015114328781</v>
      </c>
      <c r="F20" s="28">
        <f t="shared" si="3"/>
        <v>529.7928092107295</v>
      </c>
      <c r="G20" s="28">
        <f t="shared" si="3"/>
        <v>543.63112226649082</v>
      </c>
      <c r="H20" s="28">
        <f t="shared" si="3"/>
        <v>551.0447956140041</v>
      </c>
    </row>
    <row r="21" spans="1:8" x14ac:dyDescent="0.35">
      <c r="A21" s="11" t="s">
        <v>96</v>
      </c>
      <c r="C21" s="28">
        <f>-C14*Inputs!B34</f>
        <v>-277.20872194383384</v>
      </c>
      <c r="D21" s="28">
        <f>-D14*Inputs!C34</f>
        <v>-286.98378987480237</v>
      </c>
      <c r="E21" s="28">
        <f>-E14*Inputs!D34</f>
        <v>-293.69772407486818</v>
      </c>
      <c r="F21" s="28">
        <f>-F14*Inputs!E34</f>
        <v>-297.08335953718222</v>
      </c>
      <c r="G21" s="28">
        <f>-G14*Inputs!F34</f>
        <v>-296.98261538361822</v>
      </c>
      <c r="H21" s="28">
        <f>-H14*Inputs!G34</f>
        <v>-293.35783606900145</v>
      </c>
    </row>
    <row r="22" spans="1:8" x14ac:dyDescent="0.35">
      <c r="A22" s="11" t="s">
        <v>97</v>
      </c>
      <c r="C22" s="28">
        <f>-Inputs!B35*(C14-B14)</f>
        <v>16.399575747041265</v>
      </c>
      <c r="D22" s="28">
        <f>-Inputs!C35*(D14-C14)</f>
        <v>36.161663897582962</v>
      </c>
      <c r="E22" s="28">
        <f>-Inputs!D35*(E14-D14)</f>
        <v>27.17032931770742</v>
      </c>
      <c r="F22" s="28">
        <f>-Inputs!E35*(F14-E14)</f>
        <v>17.14931004696761</v>
      </c>
      <c r="G22" s="28">
        <f>-Inputs!F35*(G14-F14)</f>
        <v>6.4124919054983094</v>
      </c>
      <c r="H22" s="28">
        <f>-Inputs!G35*(H14-G14)</f>
        <v>-4.6787957243813292</v>
      </c>
    </row>
    <row r="23" spans="1:8" x14ac:dyDescent="0.35">
      <c r="A23" s="3" t="s">
        <v>98</v>
      </c>
      <c r="C23" s="27">
        <f t="shared" ref="C23:H23" si="4">C20+C17+C21+C22</f>
        <v>450.11036352819116</v>
      </c>
      <c r="D23" s="27">
        <f t="shared" si="4"/>
        <v>500.01324069274341</v>
      </c>
      <c r="E23" s="27">
        <f t="shared" si="4"/>
        <v>517.28496555526647</v>
      </c>
      <c r="F23" s="27">
        <f t="shared" si="4"/>
        <v>528.72694642203408</v>
      </c>
      <c r="G23" s="27">
        <f t="shared" si="4"/>
        <v>533.85337597813066</v>
      </c>
      <c r="H23" s="27">
        <f t="shared" si="4"/>
        <v>532.39657912443226</v>
      </c>
    </row>
    <row r="24" spans="1:8" x14ac:dyDescent="0.35">
      <c r="A24" s="11" t="s">
        <v>131</v>
      </c>
      <c r="B24" s="28">
        <f>NPV($G$5,$C$23:$H$23)*(1+$G$5)^(0.5*Inputs!$B$18)+IF(Inputs!$B$19=1,$H$20*(1+$H$5)*(1-$H$5/Inputs!$B$20),$H$23*(1+$H$5))/($G$5-$H$5)/(1+$G$5)^6</f>
        <v>6410.1624179782875</v>
      </c>
    </row>
    <row r="25" spans="1:8" x14ac:dyDescent="0.35">
      <c r="A25" s="3" t="s">
        <v>153</v>
      </c>
      <c r="B25" s="45">
        <f>(B24-Inputs!$B$8-Inputs!$B$9)/Inputs!$B$7/Inputs!$B$6</f>
        <v>27.97183847602728</v>
      </c>
    </row>
    <row r="27" spans="1:8" x14ac:dyDescent="0.35">
      <c r="A27" s="9" t="s">
        <v>160</v>
      </c>
      <c r="B27" s="46" t="str">
        <f>Forecast!B4</f>
        <v>2025A</v>
      </c>
      <c r="C27" s="14" t="s">
        <v>64</v>
      </c>
      <c r="D27" s="14" t="s">
        <v>65</v>
      </c>
      <c r="E27" s="14" t="s">
        <v>66</v>
      </c>
      <c r="F27" s="14" t="s">
        <v>67</v>
      </c>
      <c r="G27" s="14" t="s">
        <v>68</v>
      </c>
      <c r="H27" s="14" t="s">
        <v>69</v>
      </c>
    </row>
    <row r="28" spans="1:8" x14ac:dyDescent="0.35">
      <c r="A28" s="25" t="s">
        <v>70</v>
      </c>
      <c r="C28" s="26">
        <f>Inputs!B31+$C$6</f>
        <v>3.9699999999999999E-2</v>
      </c>
      <c r="D28" s="26">
        <f>Inputs!C31+$C$6</f>
        <v>6.2600000000000003E-2</v>
      </c>
      <c r="E28" s="26">
        <f>Inputs!D31+$C$6</f>
        <v>5.0700000000000002E-2</v>
      </c>
      <c r="F28" s="26">
        <f>Inputs!E31+$C$6</f>
        <v>3.8800000000000001E-2</v>
      </c>
      <c r="G28" s="26">
        <f>Inputs!F31+$C$6</f>
        <v>2.69E-2</v>
      </c>
      <c r="H28" s="26">
        <f>Inputs!G31+$C$6</f>
        <v>1.4999999999999999E-2</v>
      </c>
    </row>
    <row r="29" spans="1:8" x14ac:dyDescent="0.35">
      <c r="A29" s="3" t="s">
        <v>84</v>
      </c>
      <c r="B29" s="31">
        <f>Forecast!B6</f>
        <v>5509</v>
      </c>
      <c r="C29" s="27">
        <f t="shared" ref="C29:H29" si="5">B29*(1+C28)</f>
        <v>5727.7073</v>
      </c>
      <c r="D29" s="27">
        <f t="shared" si="5"/>
        <v>6086.2617769799999</v>
      </c>
      <c r="E29" s="27">
        <f t="shared" si="5"/>
        <v>6394.8352490728857</v>
      </c>
      <c r="F29" s="27">
        <f t="shared" si="5"/>
        <v>6642.9548567369129</v>
      </c>
      <c r="G29" s="27">
        <f t="shared" si="5"/>
        <v>6821.6503423831355</v>
      </c>
      <c r="H29" s="27">
        <f t="shared" si="5"/>
        <v>6923.9750975188817</v>
      </c>
    </row>
    <row r="30" spans="1:8" x14ac:dyDescent="0.35">
      <c r="A30" s="25" t="s">
        <v>71</v>
      </c>
      <c r="C30" s="26">
        <f>Inputs!B32+$D$6</f>
        <v>0.16945929388273731</v>
      </c>
      <c r="D30" s="26">
        <f>Inputs!C32+$D$6</f>
        <v>0.17156743510618991</v>
      </c>
      <c r="E30" s="26">
        <f>Inputs!D32+$D$6</f>
        <v>0.17367557632964239</v>
      </c>
      <c r="F30" s="26">
        <f>Inputs!E32+$D$6</f>
        <v>0.17578371755309491</v>
      </c>
      <c r="G30" s="26">
        <f>Inputs!F32+$D$6</f>
        <v>0.17789185877654751</v>
      </c>
      <c r="H30" s="26">
        <f>Inputs!G32+$D$6</f>
        <v>0.18</v>
      </c>
    </row>
    <row r="31" spans="1:8" x14ac:dyDescent="0.35">
      <c r="A31" s="3" t="s">
        <v>88</v>
      </c>
      <c r="C31" s="27">
        <f t="shared" ref="C31:H31" si="6">C29*C30</f>
        <v>970.61323462499979</v>
      </c>
      <c r="D31" s="27">
        <f t="shared" si="6"/>
        <v>1044.2043224613003</v>
      </c>
      <c r="E31" s="27">
        <f t="shared" si="6"/>
        <v>1110.6266974158457</v>
      </c>
      <c r="F31" s="27">
        <f t="shared" si="6"/>
        <v>1167.7233002546016</v>
      </c>
      <c r="G31" s="27">
        <f t="shared" si="6"/>
        <v>1213.5160593302078</v>
      </c>
      <c r="H31" s="27">
        <f t="shared" si="6"/>
        <v>1246.3155175533986</v>
      </c>
    </row>
    <row r="32" spans="1:8" x14ac:dyDescent="0.35">
      <c r="A32" s="11" t="s">
        <v>91</v>
      </c>
      <c r="C32" s="28">
        <f>C29*Inputs!B33</f>
        <v>259.71418143372773</v>
      </c>
      <c r="D32" s="28">
        <f>D29*Inputs!C33</f>
        <v>275.97228919147909</v>
      </c>
      <c r="E32" s="28">
        <f>E29*Inputs!D33</f>
        <v>289.9640842534871</v>
      </c>
      <c r="F32" s="28">
        <f>F29*Inputs!E33</f>
        <v>301.21469072252233</v>
      </c>
      <c r="G32" s="28">
        <f>G29*Inputs!F33</f>
        <v>309.31736590295816</v>
      </c>
      <c r="H32" s="28">
        <f>H29*Inputs!G33</f>
        <v>313.95712639150253</v>
      </c>
    </row>
    <row r="33" spans="1:8" x14ac:dyDescent="0.35">
      <c r="A33" s="11" t="s">
        <v>92</v>
      </c>
      <c r="C33" s="28">
        <f t="shared" ref="C33:H33" si="7">C31-C32</f>
        <v>710.89905319127206</v>
      </c>
      <c r="D33" s="28">
        <f t="shared" si="7"/>
        <v>768.23203326982116</v>
      </c>
      <c r="E33" s="28">
        <f t="shared" si="7"/>
        <v>820.66261316235864</v>
      </c>
      <c r="F33" s="28">
        <f t="shared" si="7"/>
        <v>866.50860953207916</v>
      </c>
      <c r="G33" s="28">
        <f t="shared" si="7"/>
        <v>904.19869342724962</v>
      </c>
      <c r="H33" s="28">
        <f t="shared" si="7"/>
        <v>932.35839116189618</v>
      </c>
    </row>
    <row r="34" spans="1:8" x14ac:dyDescent="0.35">
      <c r="A34" s="11" t="s">
        <v>111</v>
      </c>
      <c r="C34" s="28">
        <f>-MAX(C33,0)*Inputs!$B$10</f>
        <v>-156.39779170207984</v>
      </c>
      <c r="D34" s="28">
        <f>-MAX(D33,0)*Inputs!$B$10</f>
        <v>-169.01104731936064</v>
      </c>
      <c r="E34" s="28">
        <f>-MAX(E33,0)*Inputs!$B$10</f>
        <v>-180.54577489571889</v>
      </c>
      <c r="F34" s="28">
        <f>-MAX(F33,0)*Inputs!$B$10</f>
        <v>-190.63189409705743</v>
      </c>
      <c r="G34" s="28">
        <f>-MAX(G33,0)*Inputs!$B$10</f>
        <v>-198.92371255399493</v>
      </c>
      <c r="H34" s="28">
        <f>-MAX(H33,0)*Inputs!$B$10</f>
        <v>-205.11884605561715</v>
      </c>
    </row>
    <row r="35" spans="1:8" x14ac:dyDescent="0.35">
      <c r="A35" s="11" t="s">
        <v>95</v>
      </c>
      <c r="C35" s="28">
        <f t="shared" ref="C35:H35" si="8">C33+C34</f>
        <v>554.50126148919219</v>
      </c>
      <c r="D35" s="28">
        <f t="shared" si="8"/>
        <v>599.22098595046054</v>
      </c>
      <c r="E35" s="28">
        <f t="shared" si="8"/>
        <v>640.11683826663977</v>
      </c>
      <c r="F35" s="28">
        <f t="shared" si="8"/>
        <v>675.87671543502177</v>
      </c>
      <c r="G35" s="28">
        <f t="shared" si="8"/>
        <v>705.27498087325466</v>
      </c>
      <c r="H35" s="28">
        <f t="shared" si="8"/>
        <v>727.23954510627902</v>
      </c>
    </row>
    <row r="36" spans="1:8" x14ac:dyDescent="0.35">
      <c r="A36" s="11" t="s">
        <v>96</v>
      </c>
      <c r="C36" s="28">
        <f>-C29*Inputs!B34</f>
        <v>-282.64578621653817</v>
      </c>
      <c r="D36" s="28">
        <f>-D29*Inputs!C34</f>
        <v>-298.22571067716541</v>
      </c>
      <c r="E36" s="28">
        <f>-E29*Inputs!D34</f>
        <v>-311.12488777291361</v>
      </c>
      <c r="F36" s="28">
        <f>-F29*Inputs!E34</f>
        <v>-320.88949736521795</v>
      </c>
      <c r="G36" s="28">
        <f>-G29*Inputs!F34</f>
        <v>-327.15232952122415</v>
      </c>
      <c r="H36" s="28">
        <f>-H29*Inputs!G34</f>
        <v>-329.65498271107771</v>
      </c>
    </row>
    <row r="37" spans="1:8" x14ac:dyDescent="0.35">
      <c r="A37" s="11" t="s">
        <v>97</v>
      </c>
      <c r="C37" s="28">
        <f>-Inputs!B35*(C29-B29)</f>
        <v>33.048891226270783</v>
      </c>
      <c r="D37" s="28">
        <f>-Inputs!C35*(D29-C29)</f>
        <v>54.181218040753215</v>
      </c>
      <c r="E37" s="28">
        <f>-Inputs!D35*(E29-D29)</f>
        <v>46.62858127968515</v>
      </c>
      <c r="F37" s="28">
        <f>-Inputs!E35*(F29-E29)</f>
        <v>37.493389222917635</v>
      </c>
      <c r="G37" s="28">
        <f>-Inputs!F35*(G29-F29)</f>
        <v>27.002700265366723</v>
      </c>
      <c r="H37" s="28">
        <f>-Inputs!G35*(H29-G29)</f>
        <v>15.462308309946994</v>
      </c>
    </row>
    <row r="38" spans="1:8" x14ac:dyDescent="0.35">
      <c r="A38" s="3" t="s">
        <v>98</v>
      </c>
      <c r="C38" s="27">
        <f t="shared" ref="C38:H38" si="9">C35+C32+C36+C37</f>
        <v>564.61854793265252</v>
      </c>
      <c r="D38" s="27">
        <f t="shared" si="9"/>
        <v>631.14878250552761</v>
      </c>
      <c r="E38" s="27">
        <f t="shared" si="9"/>
        <v>665.58461602689852</v>
      </c>
      <c r="F38" s="27">
        <f t="shared" si="9"/>
        <v>693.69529801524368</v>
      </c>
      <c r="G38" s="27">
        <f t="shared" si="9"/>
        <v>714.44271752035536</v>
      </c>
      <c r="H38" s="27">
        <f t="shared" si="9"/>
        <v>727.00399709665089</v>
      </c>
    </row>
    <row r="39" spans="1:8" x14ac:dyDescent="0.35">
      <c r="A39" s="11" t="s">
        <v>131</v>
      </c>
      <c r="B39" s="28">
        <f>NPV($G$6,$C$38:$H$38)*(1+$G$6)^(0.5*Inputs!$B$18)+IF(Inputs!$B$19=1,$H$35*(1+$H$6)*(1-$H$6/Inputs!$B$20),$H$38*(1+$H$6))/($G$6-$H$6)/(1+$G$6)^6</f>
        <v>9444.811817689264</v>
      </c>
    </row>
    <row r="40" spans="1:8" x14ac:dyDescent="0.35">
      <c r="A40" s="3" t="s">
        <v>153</v>
      </c>
      <c r="B40" s="45">
        <f>(B39-Inputs!$B$8-Inputs!$B$9)/Inputs!$B$7/Inputs!$B$6</f>
        <v>43.670409422935613</v>
      </c>
    </row>
    <row r="42" spans="1:8" x14ac:dyDescent="0.35">
      <c r="A42" s="9" t="s">
        <v>161</v>
      </c>
      <c r="B42" s="46" t="str">
        <f>Forecast!B4</f>
        <v>2025A</v>
      </c>
      <c r="C42" s="14" t="s">
        <v>64</v>
      </c>
      <c r="D42" s="14" t="s">
        <v>65</v>
      </c>
      <c r="E42" s="14" t="s">
        <v>66</v>
      </c>
      <c r="F42" s="14" t="s">
        <v>67</v>
      </c>
      <c r="G42" s="14" t="s">
        <v>68</v>
      </c>
      <c r="H42" s="14" t="s">
        <v>69</v>
      </c>
    </row>
    <row r="43" spans="1:8" x14ac:dyDescent="0.35">
      <c r="A43" s="25" t="s">
        <v>70</v>
      </c>
      <c r="C43" s="26">
        <f>Inputs!B31+$C$7</f>
        <v>5.9700000000000003E-2</v>
      </c>
      <c r="D43" s="26">
        <f>Inputs!C31+$C$7</f>
        <v>8.2600000000000007E-2</v>
      </c>
      <c r="E43" s="26">
        <f>Inputs!D31+$C$7</f>
        <v>7.0699999999999999E-2</v>
      </c>
      <c r="F43" s="26">
        <f>Inputs!E31+$C$7</f>
        <v>5.8800000000000005E-2</v>
      </c>
      <c r="G43" s="26">
        <f>Inputs!F31+$C$7</f>
        <v>4.6899999999999997E-2</v>
      </c>
      <c r="H43" s="26">
        <f>Inputs!G31+$C$7</f>
        <v>3.5000000000000003E-2</v>
      </c>
    </row>
    <row r="44" spans="1:8" x14ac:dyDescent="0.35">
      <c r="A44" s="3" t="s">
        <v>84</v>
      </c>
      <c r="B44" s="31">
        <f>Forecast!B6</f>
        <v>5509</v>
      </c>
      <c r="C44" s="27">
        <f t="shared" ref="C44:H44" si="10">B44*(1+C43)</f>
        <v>5837.8873000000003</v>
      </c>
      <c r="D44" s="27">
        <f t="shared" si="10"/>
        <v>6320.0967909800002</v>
      </c>
      <c r="E44" s="27">
        <f t="shared" si="10"/>
        <v>6766.927634102286</v>
      </c>
      <c r="F44" s="27">
        <f t="shared" si="10"/>
        <v>7164.8229789875004</v>
      </c>
      <c r="G44" s="27">
        <f t="shared" si="10"/>
        <v>7500.853176702014</v>
      </c>
      <c r="H44" s="27">
        <f t="shared" si="10"/>
        <v>7763.3830378865841</v>
      </c>
    </row>
    <row r="45" spans="1:8" x14ac:dyDescent="0.35">
      <c r="A45" s="25" t="s">
        <v>71</v>
      </c>
      <c r="C45" s="26">
        <f>Inputs!B32+$D$7</f>
        <v>0.1894592938827373</v>
      </c>
      <c r="D45" s="26">
        <f>Inputs!C32+$D$7</f>
        <v>0.1915674351061899</v>
      </c>
      <c r="E45" s="26">
        <f>Inputs!D32+$D$7</f>
        <v>0.19367557632964238</v>
      </c>
      <c r="F45" s="26">
        <f>Inputs!E32+$D$7</f>
        <v>0.1957837175530949</v>
      </c>
      <c r="G45" s="26">
        <f>Inputs!F32+$D$7</f>
        <v>0.1978918587765475</v>
      </c>
      <c r="H45" s="26">
        <f>Inputs!G32+$D$7</f>
        <v>0.19999999999999998</v>
      </c>
    </row>
    <row r="46" spans="1:8" x14ac:dyDescent="0.35">
      <c r="A46" s="3" t="s">
        <v>88</v>
      </c>
      <c r="C46" s="27">
        <f t="shared" ref="C46:H46" si="11">C44*C45</f>
        <v>1106.0420056249998</v>
      </c>
      <c r="D46" s="27">
        <f t="shared" si="11"/>
        <v>1210.7247318709003</v>
      </c>
      <c r="E46" s="27">
        <f t="shared" si="11"/>
        <v>1310.5886095157437</v>
      </c>
      <c r="F46" s="27">
        <f t="shared" si="11"/>
        <v>1402.7556784360127</v>
      </c>
      <c r="G46" s="27">
        <f t="shared" si="11"/>
        <v>1484.3577775475326</v>
      </c>
      <c r="H46" s="27">
        <f t="shared" si="11"/>
        <v>1552.6766075773166</v>
      </c>
    </row>
    <row r="47" spans="1:8" x14ac:dyDescent="0.35">
      <c r="A47" s="11" t="s">
        <v>91</v>
      </c>
      <c r="C47" s="28">
        <f>C44*Inputs!B33</f>
        <v>264.7101260607111</v>
      </c>
      <c r="D47" s="28">
        <f>D44*Inputs!C33</f>
        <v>286.57518247332581</v>
      </c>
      <c r="E47" s="28">
        <f>E44*Inputs!D33</f>
        <v>306.83604787418994</v>
      </c>
      <c r="F47" s="28">
        <f>F44*Inputs!E33</f>
        <v>324.87800748919233</v>
      </c>
      <c r="G47" s="28">
        <f>G44*Inputs!F33</f>
        <v>340.11478604043543</v>
      </c>
      <c r="H47" s="28">
        <f>H44*Inputs!G33</f>
        <v>352.01880355185062</v>
      </c>
    </row>
    <row r="48" spans="1:8" x14ac:dyDescent="0.35">
      <c r="A48" s="11" t="s">
        <v>92</v>
      </c>
      <c r="C48" s="28">
        <f t="shared" ref="C48:H48" si="12">C46-C47</f>
        <v>841.33187956428867</v>
      </c>
      <c r="D48" s="28">
        <f t="shared" si="12"/>
        <v>924.14954939757445</v>
      </c>
      <c r="E48" s="28">
        <f t="shared" si="12"/>
        <v>1003.7525616415537</v>
      </c>
      <c r="F48" s="28">
        <f t="shared" si="12"/>
        <v>1077.8776709468202</v>
      </c>
      <c r="G48" s="28">
        <f t="shared" si="12"/>
        <v>1144.242991507097</v>
      </c>
      <c r="H48" s="28">
        <f t="shared" si="12"/>
        <v>1200.657804025466</v>
      </c>
    </row>
    <row r="49" spans="1:8" x14ac:dyDescent="0.35">
      <c r="A49" s="11" t="s">
        <v>111</v>
      </c>
      <c r="C49" s="28">
        <f>-MAX(C48,0)*Inputs!$B$10</f>
        <v>-185.0930135041435</v>
      </c>
      <c r="D49" s="28">
        <f>-MAX(D48,0)*Inputs!$B$10</f>
        <v>-203.31290086746637</v>
      </c>
      <c r="E49" s="28">
        <f>-MAX(E48,0)*Inputs!$B$10</f>
        <v>-220.82556356114182</v>
      </c>
      <c r="F49" s="28">
        <f>-MAX(F48,0)*Inputs!$B$10</f>
        <v>-237.13308760830046</v>
      </c>
      <c r="G49" s="28">
        <f>-MAX(G48,0)*Inputs!$B$10</f>
        <v>-251.73345813156135</v>
      </c>
      <c r="H49" s="28">
        <f>-MAX(H48,0)*Inputs!$B$10</f>
        <v>-264.14471688560252</v>
      </c>
    </row>
    <row r="50" spans="1:8" x14ac:dyDescent="0.35">
      <c r="A50" s="11" t="s">
        <v>95</v>
      </c>
      <c r="C50" s="28">
        <f t="shared" ref="C50:H50" si="13">C48+C49</f>
        <v>656.23886606014514</v>
      </c>
      <c r="D50" s="28">
        <f t="shared" si="13"/>
        <v>720.83664853010805</v>
      </c>
      <c r="E50" s="28">
        <f t="shared" si="13"/>
        <v>782.92699808041186</v>
      </c>
      <c r="F50" s="28">
        <f t="shared" si="13"/>
        <v>840.74458333851976</v>
      </c>
      <c r="G50" s="28">
        <f t="shared" si="13"/>
        <v>892.50953337553574</v>
      </c>
      <c r="H50" s="28">
        <f t="shared" si="13"/>
        <v>936.5130871398635</v>
      </c>
    </row>
    <row r="51" spans="1:8" x14ac:dyDescent="0.35">
      <c r="A51" s="11" t="s">
        <v>96</v>
      </c>
      <c r="C51" s="28">
        <f>-C44*Inputs!B34</f>
        <v>-288.08285048924262</v>
      </c>
      <c r="D51" s="28">
        <f>-D44*Inputs!C34</f>
        <v>-309.68358347112166</v>
      </c>
      <c r="E51" s="28">
        <f>-E44*Inputs!D34</f>
        <v>-329.2281221838723</v>
      </c>
      <c r="F51" s="28">
        <f>-F44*Inputs!E34</f>
        <v>-346.09845980007333</v>
      </c>
      <c r="G51" s="28">
        <f>-G44*Inputs!F34</f>
        <v>-359.72550145357695</v>
      </c>
      <c r="H51" s="28">
        <f>-H44*Inputs!G34</f>
        <v>-369.6197437294432</v>
      </c>
    </row>
    <row r="52" spans="1:8" x14ac:dyDescent="0.35">
      <c r="A52" s="11" t="s">
        <v>97</v>
      </c>
      <c r="C52" s="28">
        <f>-Inputs!B35*(C44-B44)</f>
        <v>49.698206705500432</v>
      </c>
      <c r="D52" s="28">
        <f>-Inputs!C35*(D44-C44)</f>
        <v>72.866744803092587</v>
      </c>
      <c r="E52" s="28">
        <f>-Inputs!D35*(E44-D44)</f>
        <v>67.520672290734169</v>
      </c>
      <c r="F52" s="28">
        <f>-Inputs!E35*(F44-E44)</f>
        <v>60.12602218833549</v>
      </c>
      <c r="G52" s="28">
        <f>-Inputs!F35*(G44-F44)</f>
        <v>50.777570995614795</v>
      </c>
      <c r="H52" s="28">
        <f>-Inputs!G35*(H44-G44)</f>
        <v>39.670924683066474</v>
      </c>
    </row>
    <row r="53" spans="1:8" x14ac:dyDescent="0.35">
      <c r="A53" s="3" t="s">
        <v>98</v>
      </c>
      <c r="C53" s="27">
        <f t="shared" ref="C53:H53" si="14">C50+C47+C51+C52</f>
        <v>682.56434833711398</v>
      </c>
      <c r="D53" s="27">
        <f t="shared" si="14"/>
        <v>770.59499233540487</v>
      </c>
      <c r="E53" s="27">
        <f t="shared" si="14"/>
        <v>828.05559606146358</v>
      </c>
      <c r="F53" s="27">
        <f t="shared" si="14"/>
        <v>879.65015321597411</v>
      </c>
      <c r="G53" s="27">
        <f t="shared" si="14"/>
        <v>923.67638895800894</v>
      </c>
      <c r="H53" s="27">
        <f t="shared" si="14"/>
        <v>958.58307164533744</v>
      </c>
    </row>
    <row r="54" spans="1:8" x14ac:dyDescent="0.35">
      <c r="A54" s="11" t="s">
        <v>131</v>
      </c>
      <c r="B54" s="28">
        <f>NPV($G$7,$C$53:$H$53)*(1+$G$7)^(0.5*Inputs!$B$18)+IF(Inputs!$B$19=1,$H$50*(1+$H$7)*(1-$H$7/Inputs!$B$20),$H$53*(1+$H$7))/($G$7-$H$7)/(1+$G$7)^6</f>
        <v>13638.255112824545</v>
      </c>
    </row>
    <row r="55" spans="1:8" x14ac:dyDescent="0.35">
      <c r="A55" s="3" t="s">
        <v>153</v>
      </c>
      <c r="B55" s="45">
        <f>(B54-Inputs!$B$8-Inputs!$B$9)/Inputs!$B$7/Inputs!$B$6</f>
        <v>65.363547050889636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4" customWidth="1"/>
    <col min="2" max="2" width="12" customWidth="1"/>
    <col min="3" max="3" width="18" customWidth="1"/>
    <col min="4" max="5" width="14" customWidth="1"/>
    <col min="6" max="12" width="12" customWidth="1"/>
  </cols>
  <sheetData>
    <row r="1" spans="1:12" ht="18" x14ac:dyDescent="0.4">
      <c r="A1" s="1" t="s">
        <v>162</v>
      </c>
    </row>
    <row r="2" spans="1:12" x14ac:dyDescent="0.35">
      <c r="A2" s="2" t="s">
        <v>163</v>
      </c>
    </row>
    <row r="4" spans="1:12" x14ac:dyDescent="0.35">
      <c r="A4" s="13" t="s">
        <v>164</v>
      </c>
      <c r="B4" s="13" t="s">
        <v>165</v>
      </c>
      <c r="C4" s="13" t="s">
        <v>166</v>
      </c>
      <c r="D4" s="14" t="s">
        <v>167</v>
      </c>
      <c r="E4" s="14" t="s">
        <v>168</v>
      </c>
      <c r="F4" s="14" t="s">
        <v>169</v>
      </c>
      <c r="G4" s="14" t="s">
        <v>71</v>
      </c>
      <c r="H4" s="14" t="s">
        <v>170</v>
      </c>
      <c r="I4" s="14" t="s">
        <v>171</v>
      </c>
      <c r="J4" s="14" t="s">
        <v>172</v>
      </c>
      <c r="K4" s="14" t="s">
        <v>173</v>
      </c>
      <c r="L4" s="14" t="s">
        <v>174</v>
      </c>
    </row>
    <row r="5" spans="1:12" x14ac:dyDescent="0.35">
      <c r="A5" s="11" t="s">
        <v>175</v>
      </c>
      <c r="B5" s="11" t="s">
        <v>176</v>
      </c>
      <c r="C5" s="11" t="s">
        <v>177</v>
      </c>
      <c r="D5" s="18">
        <v>22901.724648448238</v>
      </c>
      <c r="E5" s="18">
        <v>34883.367426272642</v>
      </c>
      <c r="F5" s="19">
        <v>0.16894338380513491</v>
      </c>
      <c r="G5" s="19">
        <v>0.21286765223512849</v>
      </c>
      <c r="H5" s="47">
        <v>2.276447132699754</v>
      </c>
      <c r="I5" s="47">
        <v>10.694190069730491</v>
      </c>
      <c r="J5" s="47">
        <v>46.947787074341051</v>
      </c>
      <c r="K5" s="47">
        <v>46.771430000000002</v>
      </c>
      <c r="L5" s="47">
        <v>13.849525</v>
      </c>
    </row>
    <row r="6" spans="1:12" x14ac:dyDescent="0.35">
      <c r="A6" s="11" t="s">
        <v>178</v>
      </c>
      <c r="B6" s="11" t="s">
        <v>179</v>
      </c>
      <c r="C6" s="11" t="s">
        <v>177</v>
      </c>
      <c r="D6" s="18">
        <v>35534.574536857908</v>
      </c>
      <c r="E6" s="18">
        <v>55508.513049020119</v>
      </c>
      <c r="F6" s="19">
        <v>0.12058521360736731</v>
      </c>
      <c r="G6" s="19">
        <v>0.41872863525417181</v>
      </c>
      <c r="H6" s="47">
        <v>4.4829316751048216</v>
      </c>
      <c r="I6" s="47">
        <v>10.70605470386243</v>
      </c>
      <c r="J6" s="47">
        <v>14.889550635872331</v>
      </c>
      <c r="K6" s="47">
        <v>17.157533999999998</v>
      </c>
      <c r="L6" s="47">
        <v>13.672088</v>
      </c>
    </row>
    <row r="7" spans="1:12" x14ac:dyDescent="0.35">
      <c r="A7" s="11" t="s">
        <v>180</v>
      </c>
      <c r="B7" s="11" t="s">
        <v>181</v>
      </c>
      <c r="C7" s="11" t="s">
        <v>177</v>
      </c>
      <c r="D7" s="18">
        <v>86698.039156321291</v>
      </c>
      <c r="E7" s="18">
        <v>98882.322966383697</v>
      </c>
      <c r="F7" s="19">
        <v>0.14279309956714911</v>
      </c>
      <c r="G7" s="19">
        <v>0.2213165857331012</v>
      </c>
      <c r="H7" s="47">
        <v>3.5303893284545049</v>
      </c>
      <c r="I7" s="47">
        <v>15.951761214643041</v>
      </c>
      <c r="J7" s="47">
        <v>28.848133400913991</v>
      </c>
      <c r="K7" s="47">
        <v>22.672129999999999</v>
      </c>
      <c r="L7" s="47">
        <v>20.323591</v>
      </c>
    </row>
    <row r="8" spans="1:12" x14ac:dyDescent="0.35">
      <c r="A8" s="11" t="s">
        <v>182</v>
      </c>
      <c r="B8" s="11" t="s">
        <v>183</v>
      </c>
      <c r="C8" s="11" t="s">
        <v>177</v>
      </c>
      <c r="D8" s="18">
        <v>4116.6364151718753</v>
      </c>
      <c r="E8" s="18">
        <v>4860.8088516953121</v>
      </c>
      <c r="F8" s="19">
        <v>8.2191780821917915E-2</v>
      </c>
      <c r="G8" s="19">
        <v>0.18832176398530009</v>
      </c>
      <c r="H8" s="47">
        <v>1.578948207431605</v>
      </c>
      <c r="I8" s="47">
        <v>8.3843108412836074</v>
      </c>
      <c r="J8" s="47">
        <v>30.162590951638069</v>
      </c>
      <c r="K8" s="47">
        <v>47.306249999999999</v>
      </c>
      <c r="L8" s="47">
        <v>33.116030000000002</v>
      </c>
    </row>
    <row r="9" spans="1:12" x14ac:dyDescent="0.35">
      <c r="A9" s="11" t="s">
        <v>184</v>
      </c>
      <c r="B9" s="11" t="s">
        <v>185</v>
      </c>
      <c r="C9" s="11" t="s">
        <v>177</v>
      </c>
      <c r="D9" s="18">
        <v>1750.2833942510831</v>
      </c>
      <c r="E9" s="18">
        <v>5202.8181945402384</v>
      </c>
      <c r="F9" s="19">
        <v>-1.706592247132788E-2</v>
      </c>
      <c r="G9" s="19">
        <v>-1.1373114752015851E-2</v>
      </c>
      <c r="H9" s="47">
        <v>1.7669843209613849</v>
      </c>
      <c r="I9" s="47"/>
      <c r="J9" s="47"/>
      <c r="K9" s="47"/>
      <c r="L9" s="47">
        <v>5.7522864</v>
      </c>
    </row>
    <row r="10" spans="1:12" x14ac:dyDescent="0.35">
      <c r="A10" s="11" t="s">
        <v>186</v>
      </c>
      <c r="B10" s="11" t="s">
        <v>187</v>
      </c>
      <c r="C10" s="11" t="s">
        <v>188</v>
      </c>
      <c r="D10" s="18">
        <v>13632.838656</v>
      </c>
      <c r="E10" s="18">
        <v>14541.430656</v>
      </c>
      <c r="F10" s="19">
        <v>0.16687030338572639</v>
      </c>
      <c r="G10" s="19">
        <v>8.6412895145026009E-2</v>
      </c>
      <c r="H10" s="47">
        <v>0.9865370384127462</v>
      </c>
      <c r="I10" s="47">
        <v>11.41654884675545</v>
      </c>
      <c r="J10" s="47">
        <v>13.158521377462099</v>
      </c>
      <c r="K10" s="47">
        <v>15.866667</v>
      </c>
      <c r="L10" s="47">
        <v>12.168525000000001</v>
      </c>
    </row>
    <row r="11" spans="1:12" x14ac:dyDescent="0.35">
      <c r="A11" s="11" t="s">
        <v>189</v>
      </c>
      <c r="B11" s="11" t="s">
        <v>190</v>
      </c>
      <c r="C11" s="11" t="s">
        <v>188</v>
      </c>
      <c r="D11" s="18">
        <v>4828.6453760000004</v>
      </c>
      <c r="E11" s="18">
        <v>5551.0173759999998</v>
      </c>
      <c r="F11" s="19">
        <v>4.2173675488990092E-2</v>
      </c>
      <c r="G11" s="19">
        <v>0.1229266619496325</v>
      </c>
      <c r="H11" s="47">
        <v>1.407255742262336</v>
      </c>
      <c r="I11" s="47">
        <v>11.44792935839207</v>
      </c>
      <c r="J11" s="47">
        <v>16.20603932470279</v>
      </c>
      <c r="K11" s="47">
        <v>18.591550000000002</v>
      </c>
      <c r="L11" s="47">
        <v>12.013349</v>
      </c>
    </row>
    <row r="12" spans="1:12" x14ac:dyDescent="0.35">
      <c r="A12" s="11" t="s">
        <v>191</v>
      </c>
      <c r="B12" s="11" t="s">
        <v>192</v>
      </c>
      <c r="C12" s="11" t="s">
        <v>188</v>
      </c>
      <c r="D12" s="18">
        <v>87661.789183999994</v>
      </c>
      <c r="E12" s="18">
        <v>103401.78918399999</v>
      </c>
      <c r="F12" s="19">
        <v>3.3110000866376048E-2</v>
      </c>
      <c r="G12" s="19">
        <v>0.16450888926160431</v>
      </c>
      <c r="H12" s="47">
        <v>1.445228859127567</v>
      </c>
      <c r="I12" s="47">
        <v>8.7851110393757743</v>
      </c>
      <c r="J12" s="47">
        <v>11.203865286578051</v>
      </c>
      <c r="K12" s="47">
        <v>13.873668</v>
      </c>
      <c r="L12" s="47">
        <v>13.302899</v>
      </c>
    </row>
    <row r="13" spans="1:12" x14ac:dyDescent="0.35">
      <c r="A13" s="11" t="s">
        <v>193</v>
      </c>
      <c r="B13" s="11" t="s">
        <v>194</v>
      </c>
      <c r="C13" s="11" t="s">
        <v>188</v>
      </c>
      <c r="D13" s="18">
        <v>25835.502484802</v>
      </c>
      <c r="E13" s="18">
        <v>24079.992110106941</v>
      </c>
      <c r="F13" s="19">
        <v>7.6307120679126594E-2</v>
      </c>
      <c r="G13" s="19">
        <v>0.13394545265664581</v>
      </c>
      <c r="H13" s="47">
        <v>2.013034381288008</v>
      </c>
      <c r="I13" s="47">
        <v>15.02876239067403</v>
      </c>
      <c r="J13" s="47">
        <v>16.860483336902981</v>
      </c>
      <c r="K13" s="47">
        <v>21.518218999999998</v>
      </c>
      <c r="L13" s="47">
        <v>33.322884000000002</v>
      </c>
    </row>
    <row r="14" spans="1:12" x14ac:dyDescent="0.35">
      <c r="A14" s="11" t="s">
        <v>195</v>
      </c>
      <c r="B14" s="11" t="s">
        <v>196</v>
      </c>
      <c r="C14" s="11" t="s">
        <v>188</v>
      </c>
      <c r="D14" s="18">
        <v>20482.49177474829</v>
      </c>
      <c r="E14" s="18">
        <v>24069.02862520071</v>
      </c>
      <c r="F14" s="19">
        <v>9.307200503091928E-2</v>
      </c>
      <c r="G14" s="19">
        <v>0.19479360437242299</v>
      </c>
      <c r="H14" s="47">
        <v>2.4143677882826728</v>
      </c>
      <c r="I14" s="47">
        <v>12.39449208849115</v>
      </c>
      <c r="J14" s="47">
        <v>14.89464917324878</v>
      </c>
      <c r="K14" s="47">
        <v>19.050813999999999</v>
      </c>
      <c r="L14" s="47">
        <v>13.992958</v>
      </c>
    </row>
    <row r="15" spans="1:12" x14ac:dyDescent="0.35">
      <c r="A15" s="11" t="s">
        <v>197</v>
      </c>
      <c r="B15" s="11" t="s">
        <v>198</v>
      </c>
      <c r="C15" s="11" t="s">
        <v>188</v>
      </c>
      <c r="D15" s="18">
        <v>11513.75956210681</v>
      </c>
      <c r="E15" s="18">
        <v>11360.815559955319</v>
      </c>
      <c r="F15" s="19">
        <v>6.501521812647959E-2</v>
      </c>
      <c r="G15" s="19">
        <v>7.7050091291577361E-2</v>
      </c>
      <c r="H15" s="47">
        <v>0.94347394713026911</v>
      </c>
      <c r="I15" s="47">
        <v>12.2449426251803</v>
      </c>
      <c r="J15" s="47">
        <v>15.54399857703374</v>
      </c>
      <c r="K15" s="47">
        <v>20.192307</v>
      </c>
      <c r="L15" s="47">
        <v>16.649048000000001</v>
      </c>
    </row>
    <row r="17" spans="1:12" x14ac:dyDescent="0.35">
      <c r="A17" s="3" t="s">
        <v>199</v>
      </c>
      <c r="F17" s="48">
        <f t="shared" ref="F17:L17" si="0">IFERROR(AVERAGE(F5:F15),"")</f>
        <v>8.8545079900714488E-2</v>
      </c>
      <c r="G17" s="48">
        <f t="shared" si="0"/>
        <v>0.16449991973932676</v>
      </c>
      <c r="H17" s="49">
        <f t="shared" si="0"/>
        <v>2.0768725837414244</v>
      </c>
      <c r="I17" s="49">
        <f t="shared" si="0"/>
        <v>11.705410317838835</v>
      </c>
      <c r="J17" s="49">
        <f t="shared" si="0"/>
        <v>20.871561913869389</v>
      </c>
      <c r="K17" s="49">
        <f t="shared" si="0"/>
        <v>24.300056900000001</v>
      </c>
      <c r="L17" s="49">
        <f t="shared" si="0"/>
        <v>17.105743945454545</v>
      </c>
    </row>
    <row r="18" spans="1:12" x14ac:dyDescent="0.35">
      <c r="A18" s="3" t="s">
        <v>200</v>
      </c>
      <c r="F18" s="40">
        <f t="shared" ref="F18:L18" si="1">IFERROR(MEDIAN(F5:F15),"")</f>
        <v>8.2191780821917915E-2</v>
      </c>
      <c r="G18" s="40">
        <f t="shared" si="1"/>
        <v>0.16450888926160431</v>
      </c>
      <c r="H18" s="50">
        <f t="shared" si="1"/>
        <v>1.7669843209613849</v>
      </c>
      <c r="I18" s="50">
        <f t="shared" si="1"/>
        <v>11.43223910257376</v>
      </c>
      <c r="J18" s="50">
        <f t="shared" si="1"/>
        <v>15.875018950868265</v>
      </c>
      <c r="K18" s="50">
        <f t="shared" si="1"/>
        <v>19.621560500000001</v>
      </c>
      <c r="L18" s="50">
        <f t="shared" si="1"/>
        <v>13.849525</v>
      </c>
    </row>
    <row r="19" spans="1:12" x14ac:dyDescent="0.35">
      <c r="A19" s="3" t="s">
        <v>201</v>
      </c>
      <c r="F19" s="40">
        <f t="shared" ref="F19:L19" si="2">IFERROR(QUARTILE(F5:F15,1),"")</f>
        <v>5.3594446807734841E-2</v>
      </c>
      <c r="G19" s="40">
        <f t="shared" si="2"/>
        <v>0.10466977854732926</v>
      </c>
      <c r="H19" s="50">
        <f t="shared" si="2"/>
        <v>1.4262423006949514</v>
      </c>
      <c r="I19" s="50">
        <f t="shared" si="2"/>
        <v>10.697156228263475</v>
      </c>
      <c r="J19" s="50">
        <f t="shared" si="2"/>
        <v>14.890825270216443</v>
      </c>
      <c r="K19" s="50">
        <f t="shared" si="2"/>
        <v>17.516037999999998</v>
      </c>
      <c r="L19" s="50">
        <f t="shared" si="2"/>
        <v>12.735711999999999</v>
      </c>
    </row>
    <row r="20" spans="1:12" x14ac:dyDescent="0.35">
      <c r="A20" s="3" t="s">
        <v>202</v>
      </c>
      <c r="F20" s="40">
        <f t="shared" ref="F20:L20" si="3">IFERROR(QUARTILE(F5:F15,3),"")</f>
        <v>0.13168915658725822</v>
      </c>
      <c r="G20" s="40">
        <f t="shared" si="3"/>
        <v>0.20383062830377574</v>
      </c>
      <c r="H20" s="50">
        <f t="shared" si="3"/>
        <v>2.3454074604912134</v>
      </c>
      <c r="I20" s="50">
        <f t="shared" si="3"/>
        <v>12.357104722663438</v>
      </c>
      <c r="J20" s="50">
        <f t="shared" si="3"/>
        <v>25.851220884911239</v>
      </c>
      <c r="K20" s="50">
        <f t="shared" si="3"/>
        <v>22.383652249999997</v>
      </c>
      <c r="L20" s="50">
        <f t="shared" si="3"/>
        <v>18.4863195</v>
      </c>
    </row>
    <row r="23" spans="1:12" x14ac:dyDescent="0.35">
      <c r="A23" s="9" t="s">
        <v>203</v>
      </c>
      <c r="D23" s="13" t="s">
        <v>204</v>
      </c>
      <c r="E23" s="14" t="s">
        <v>205</v>
      </c>
      <c r="F23" s="14" t="s">
        <v>206</v>
      </c>
      <c r="G23" s="14" t="s">
        <v>207</v>
      </c>
      <c r="H23" s="14" t="s">
        <v>154</v>
      </c>
    </row>
    <row r="24" spans="1:12" x14ac:dyDescent="0.35">
      <c r="A24" s="11" t="s">
        <v>208</v>
      </c>
      <c r="B24" s="28">
        <f>(Inputs!$B$5*Inputs!$B$6)*Inputs!$B$7</f>
        <v>8573.1816821000011</v>
      </c>
      <c r="D24" s="11" t="s">
        <v>170</v>
      </c>
      <c r="E24" s="29">
        <f>IF(B26&lt;=0,"n.m.",B25/B26)</f>
        <v>1.7382794848611365</v>
      </c>
      <c r="F24" s="29">
        <f>H18</f>
        <v>1.7669843209613849</v>
      </c>
      <c r="G24" s="41">
        <f>IF(B26&lt;=0,"",(H18*B26-Inputs!$B$8-Inputs!$B$9)/Inputs!$B$7/Inputs!$B$6)</f>
        <v>45.168049230862053</v>
      </c>
      <c r="H24" s="34">
        <f>IF(G24="","",G24/Inputs!$B$5-1)</f>
        <v>1.8445303965322513E-2</v>
      </c>
    </row>
    <row r="25" spans="1:12" x14ac:dyDescent="0.35">
      <c r="A25" s="11" t="s">
        <v>131</v>
      </c>
      <c r="B25" s="28">
        <f>B24+Inputs!$B$8+Inputs!$B$9</f>
        <v>9576.1816821000011</v>
      </c>
      <c r="D25" s="11" t="s">
        <v>171</v>
      </c>
      <c r="E25" s="29">
        <f>IF(B27&lt;=0,"n.m.",B25/B27)</f>
        <v>10.387018297986579</v>
      </c>
      <c r="F25" s="29">
        <f>I18</f>
        <v>11.43223910257376</v>
      </c>
      <c r="G25" s="41">
        <f>IF(B27&lt;=0,"",(I18*B27-Inputs!$B$8-Inputs!$B$9)/Inputs!$B$7/Inputs!$B$6)</f>
        <v>49.334953628353176</v>
      </c>
      <c r="H25" s="34">
        <f>IF(G25="","",G25/Inputs!$B$5-1)</f>
        <v>0.11240030729093964</v>
      </c>
    </row>
    <row r="26" spans="1:12" x14ac:dyDescent="0.35">
      <c r="A26" s="11" t="s">
        <v>209</v>
      </c>
      <c r="B26" s="31">
        <f>Historicals!E5</f>
        <v>5509</v>
      </c>
      <c r="D26" s="11" t="s">
        <v>172</v>
      </c>
      <c r="E26" s="29">
        <f>IF(B28&lt;=0,"n.m.",B25/B28)</f>
        <v>13.740373680710253</v>
      </c>
      <c r="F26" s="29">
        <f>J18</f>
        <v>15.875018950868265</v>
      </c>
      <c r="G26" s="41">
        <f>IF(B28&lt;=0,"",(J18*B28-Inputs!$B$8-Inputs!$B$9)/Inputs!$B$7/Inputs!$B$6)</f>
        <v>52.046107855355864</v>
      </c>
      <c r="H26" s="34">
        <f>IF(G26="","",G26/Inputs!$B$5-1)</f>
        <v>0.17353118050407801</v>
      </c>
    </row>
    <row r="27" spans="1:12" x14ac:dyDescent="0.35">
      <c r="A27" s="11" t="s">
        <v>210</v>
      </c>
      <c r="B27" s="31">
        <f>Historicals!E9</f>
        <v>921.9375</v>
      </c>
      <c r="D27" s="11" t="s">
        <v>173</v>
      </c>
      <c r="E27" s="29">
        <f>IF(B29&lt;=0,"n.m.",(Inputs!$B$5*Inputs!$B$6)/B29)</f>
        <v>18.952991452991455</v>
      </c>
      <c r="F27" s="29">
        <f>K18</f>
        <v>19.621560500000001</v>
      </c>
      <c r="G27" s="41">
        <f>IF(B29&lt;=0,"",K18*B29/Inputs!$B$6)</f>
        <v>45.914451569999997</v>
      </c>
      <c r="H27" s="34">
        <f>IF(G27="","",G27/Inputs!$B$5-1)</f>
        <v>3.5275119954904177E-2</v>
      </c>
    </row>
    <row r="28" spans="1:12" x14ac:dyDescent="0.35">
      <c r="A28" s="11" t="s">
        <v>211</v>
      </c>
      <c r="B28" s="31">
        <f>Historicals!E14</f>
        <v>696.9375</v>
      </c>
    </row>
    <row r="29" spans="1:12" x14ac:dyDescent="0.35">
      <c r="A29" s="11" t="s">
        <v>212</v>
      </c>
      <c r="B29" s="4">
        <f>Historicals!E23</f>
        <v>2.34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/>
  </sheetViews>
  <sheetFormatPr defaultRowHeight="14.5" x14ac:dyDescent="0.35"/>
  <cols>
    <col min="1" max="1" width="34" customWidth="1"/>
    <col min="2" max="4" width="12" customWidth="1"/>
  </cols>
  <sheetData>
    <row r="1" spans="1:4" ht="18" x14ac:dyDescent="0.4">
      <c r="A1" s="1" t="s">
        <v>213</v>
      </c>
    </row>
    <row r="2" spans="1:4" x14ac:dyDescent="0.35">
      <c r="A2" s="2" t="s">
        <v>214</v>
      </c>
    </row>
    <row r="4" spans="1:4" x14ac:dyDescent="0.35">
      <c r="A4" s="13" t="s">
        <v>215</v>
      </c>
      <c r="B4" s="14" t="s">
        <v>216</v>
      </c>
      <c r="C4" s="14" t="s">
        <v>217</v>
      </c>
      <c r="D4" s="14" t="s">
        <v>218</v>
      </c>
    </row>
    <row r="5" spans="1:4" x14ac:dyDescent="0.35">
      <c r="A5" s="11" t="s">
        <v>219</v>
      </c>
      <c r="B5" s="23">
        <v>34.950000000000003</v>
      </c>
      <c r="C5" s="23">
        <v>47.45</v>
      </c>
      <c r="D5" s="41">
        <f>IFERROR(C5-B5,"")</f>
        <v>12.5</v>
      </c>
    </row>
    <row r="6" spans="1:4" x14ac:dyDescent="0.35">
      <c r="A6" s="11" t="s">
        <v>220</v>
      </c>
      <c r="B6" s="41">
        <f>MIN(DCF!D40:F42)</f>
        <v>39.315442068435722</v>
      </c>
      <c r="C6" s="41">
        <f>MAX(DCF!D40:F42)</f>
        <v>49.055382930629101</v>
      </c>
      <c r="D6" s="41">
        <f>IFERROR(C6-B6,"")</f>
        <v>9.7399408621933787</v>
      </c>
    </row>
    <row r="7" spans="1:4" x14ac:dyDescent="0.35">
      <c r="A7" s="11" t="s">
        <v>221</v>
      </c>
      <c r="B7" s="41">
        <f>(Peers!I19*Peers!B27-Inputs!$B$8-Inputs!$B$9)/Inputs!$B$7/Inputs!$B$6</f>
        <v>45.829135503272333</v>
      </c>
      <c r="C7" s="41">
        <f>(Peers!I20*Peers!B27-Inputs!$B$8-Inputs!$B$9)/Inputs!$B$7/Inputs!$B$6</f>
        <v>53.745899342762357</v>
      </c>
      <c r="D7" s="41">
        <f>IFERROR(C7-B7,"")</f>
        <v>7.9167638394900237</v>
      </c>
    </row>
    <row r="8" spans="1:4" x14ac:dyDescent="0.35">
      <c r="A8" s="11" t="s">
        <v>222</v>
      </c>
      <c r="B8" s="41">
        <f>(Peers!J19*Peers!B28-Inputs!$B$8-Inputs!$B$9)/Inputs!$B$7/Inputs!$B$6</f>
        <v>48.497761522245732</v>
      </c>
      <c r="C8" s="41">
        <f>(Peers!J20*Peers!B28-Inputs!$B$8-Inputs!$B$9)/Inputs!$B$7/Inputs!$B$6</f>
        <v>88.013641733020293</v>
      </c>
      <c r="D8" s="41">
        <f>IFERROR(C8-B8,"")</f>
        <v>39.515880210774561</v>
      </c>
    </row>
    <row r="9" spans="1:4" x14ac:dyDescent="0.35">
      <c r="A9" s="11" t="s">
        <v>223</v>
      </c>
      <c r="B9" s="41">
        <f>Peers!K19*Peers!B29/Inputs!$B$6</f>
        <v>40.987528919999995</v>
      </c>
      <c r="C9" s="41">
        <f>Peers!K20*Peers!B29/Inputs!$B$6</f>
        <v>52.377746264999992</v>
      </c>
      <c r="D9" s="41">
        <f>IFERROR(C9-B9,"")</f>
        <v>11.390217344999996</v>
      </c>
    </row>
    <row r="11" spans="1:4" x14ac:dyDescent="0.35">
      <c r="A11" s="11" t="s">
        <v>136</v>
      </c>
      <c r="B11" s="4">
        <f>Inputs!$B$5</f>
        <v>44.35</v>
      </c>
    </row>
    <row r="12" spans="1:4" x14ac:dyDescent="0.35">
      <c r="A12" s="11" t="s">
        <v>5</v>
      </c>
      <c r="B12" s="51">
        <f>DCF!$B$30</f>
        <v>47</v>
      </c>
    </row>
    <row r="13" spans="1:4" x14ac:dyDescent="0.35">
      <c r="A13" s="11" t="s">
        <v>8</v>
      </c>
      <c r="B13" s="52" t="str">
        <f>DCF!$B$33</f>
        <v>HOLD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/>
  </sheetViews>
  <sheetFormatPr defaultRowHeight="14.5" x14ac:dyDescent="0.35"/>
  <cols>
    <col min="1" max="1" width="62" customWidth="1"/>
    <col min="2" max="2" width="12" customWidth="1"/>
    <col min="3" max="3" width="60" customWidth="1"/>
  </cols>
  <sheetData>
    <row r="1" spans="1:3" ht="18" x14ac:dyDescent="0.4">
      <c r="A1" s="1" t="s">
        <v>224</v>
      </c>
    </row>
    <row r="2" spans="1:3" x14ac:dyDescent="0.35">
      <c r="A2" s="2" t="s">
        <v>225</v>
      </c>
    </row>
    <row r="4" spans="1:3" x14ac:dyDescent="0.35">
      <c r="A4" s="13" t="s">
        <v>226</v>
      </c>
      <c r="B4" s="14" t="s">
        <v>227</v>
      </c>
      <c r="C4" s="13" t="s">
        <v>228</v>
      </c>
    </row>
    <row r="5" spans="1:3" x14ac:dyDescent="0.35">
      <c r="A5" s="11" t="s">
        <v>229</v>
      </c>
      <c r="B5" s="53" t="b">
        <f>WACC!$B$17&gt;Inputs!$B$11</f>
        <v>1</v>
      </c>
      <c r="C5" s="2" t="s">
        <v>230</v>
      </c>
    </row>
    <row r="6" spans="1:3" x14ac:dyDescent="0.35">
      <c r="A6" s="11" t="s">
        <v>231</v>
      </c>
      <c r="B6" s="53" t="b">
        <f>ABS(DCF!B16-(DCF!B10+DCF!B15))&lt;0.01</f>
        <v>1</v>
      </c>
      <c r="C6" s="2" t="s">
        <v>232</v>
      </c>
    </row>
    <row r="7" spans="1:3" x14ac:dyDescent="0.35">
      <c r="A7" s="11" t="s">
        <v>233</v>
      </c>
      <c r="B7" s="53" t="b">
        <f>ABS(DCF!B19-(DCF!B16-Inputs!$B$8-Inputs!$B$9))&lt;0.01</f>
        <v>1</v>
      </c>
      <c r="C7" s="2" t="s">
        <v>234</v>
      </c>
    </row>
    <row r="8" spans="1:3" x14ac:dyDescent="0.35">
      <c r="A8" s="11" t="s">
        <v>235</v>
      </c>
      <c r="B8" s="53" t="b">
        <f>ABS(DCF!E41-DCF!B21)&lt;0.01</f>
        <v>1</v>
      </c>
      <c r="C8" s="2" t="s">
        <v>236</v>
      </c>
    </row>
    <row r="9" spans="1:3" x14ac:dyDescent="0.35">
      <c r="A9" s="11" t="s">
        <v>237</v>
      </c>
      <c r="B9" s="53" t="b">
        <f>ABS(Scenarios!I6-DCF!B21)&lt;0.01</f>
        <v>1</v>
      </c>
      <c r="C9" s="2" t="s">
        <v>238</v>
      </c>
    </row>
    <row r="10" spans="1:3" x14ac:dyDescent="0.35">
      <c r="A10" s="11" t="s">
        <v>239</v>
      </c>
      <c r="B10" s="53" t="b">
        <f>Forecast!B6=Historicals!E5</f>
        <v>1</v>
      </c>
      <c r="C10" s="2" t="s">
        <v>240</v>
      </c>
    </row>
    <row r="11" spans="1:3" x14ac:dyDescent="0.35">
      <c r="A11" s="11" t="s">
        <v>241</v>
      </c>
      <c r="B11" s="53" t="b">
        <f>ABS(WACC!B15+WACC!B16-1)&lt;0.000001</f>
        <v>1</v>
      </c>
      <c r="C11" s="2" t="s">
        <v>242</v>
      </c>
    </row>
    <row r="12" spans="1:3" x14ac:dyDescent="0.35">
      <c r="A12" s="11" t="s">
        <v>243</v>
      </c>
      <c r="B12" s="53" t="b">
        <f>ABS(Scenarios!B8-1)&lt;0.000001</f>
        <v>1</v>
      </c>
      <c r="C12" s="2" t="s">
        <v>244</v>
      </c>
    </row>
    <row r="13" spans="1:3" x14ac:dyDescent="0.35">
      <c r="A13" s="11" t="s">
        <v>245</v>
      </c>
      <c r="B13" s="53" t="b">
        <f>AND(Inputs!$B$5&gt;0,Inputs!$B$7&gt;0,Inputs!$B$6&gt;0)</f>
        <v>1</v>
      </c>
      <c r="C13" s="2" t="s">
        <v>246</v>
      </c>
    </row>
    <row r="14" spans="1:3" x14ac:dyDescent="0.35">
      <c r="A14" s="11" t="s">
        <v>247</v>
      </c>
      <c r="B14" s="53" t="b">
        <f>DCF!B24&lt;0.85</f>
        <v>1</v>
      </c>
      <c r="C14" s="2" t="s">
        <v>248</v>
      </c>
    </row>
    <row r="15" spans="1:3" x14ac:dyDescent="0.35">
      <c r="A15" s="11" t="s">
        <v>249</v>
      </c>
      <c r="B15" s="53" t="b">
        <f>SUMPRODUCT(--ISERROR(Forecast!B5:I20))+SUMPRODUCT(--ISERROR(DCF!B5:G33))+SUMPRODUCT(--ISERROR(Scenarios!B5:J8))=0</f>
        <v>1</v>
      </c>
      <c r="C15" s="2" t="s">
        <v>250</v>
      </c>
    </row>
    <row r="17" spans="1:2" x14ac:dyDescent="0.35">
      <c r="A17" s="3" t="s">
        <v>251</v>
      </c>
      <c r="B17" s="54" t="str">
        <f>IF(AND(B5:B15),"ALL OK","CHECK")</f>
        <v>ALL 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Inputs</vt:lpstr>
      <vt:lpstr>Historicals</vt:lpstr>
      <vt:lpstr>Forecast</vt:lpstr>
      <vt:lpstr>WACC</vt:lpstr>
      <vt:lpstr>DCF</vt:lpstr>
      <vt:lpstr>Scenarios</vt:lpstr>
      <vt:lpstr>Peers</vt:lpstr>
      <vt:lpstr>Football field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Schjelderup</cp:lastModifiedBy>
  <dcterms:created xsi:type="dcterms:W3CDTF">2026-09-21T07:11:41Z</dcterms:created>
  <dcterms:modified xsi:type="dcterms:W3CDTF">2026-09-21T07:11:43Z</dcterms:modified>
</cp:coreProperties>
</file>