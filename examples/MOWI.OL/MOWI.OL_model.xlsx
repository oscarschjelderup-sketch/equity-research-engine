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25ed27e3db279b7/Desktop/Private prosjekter/equity-research-engine/output/MOWI.OL/"/>
    </mc:Choice>
  </mc:AlternateContent>
  <xr:revisionPtr revIDLastSave="0" documentId="11_4D9B00AFEFBAEF3C70E76A3524607F078F6D5102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ver" sheetId="1" r:id="rId1"/>
    <sheet name="Inputs" sheetId="2" r:id="rId2"/>
    <sheet name="Historicals" sheetId="3" r:id="rId3"/>
    <sheet name="Forecast" sheetId="4" r:id="rId4"/>
    <sheet name="WACC" sheetId="5" r:id="rId5"/>
    <sheet name="DCF" sheetId="6" r:id="rId6"/>
    <sheet name="Scenarios" sheetId="7" r:id="rId7"/>
    <sheet name="Peers" sheetId="8" r:id="rId8"/>
    <sheet name="Football field" sheetId="9" r:id="rId9"/>
    <sheet name="Check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1" i="9"/>
  <c r="D5" i="9"/>
  <c r="B18" i="8"/>
  <c r="E16" i="8" s="1"/>
  <c r="B15" i="8"/>
  <c r="B13" i="8"/>
  <c r="B14" i="8" s="1"/>
  <c r="E13" i="8" s="1"/>
  <c r="L9" i="8"/>
  <c r="K9" i="8"/>
  <c r="C9" i="9" s="1"/>
  <c r="J9" i="8"/>
  <c r="I9" i="8"/>
  <c r="H9" i="8"/>
  <c r="G9" i="8"/>
  <c r="F9" i="8"/>
  <c r="L8" i="8"/>
  <c r="K8" i="8"/>
  <c r="B9" i="9" s="1"/>
  <c r="J8" i="8"/>
  <c r="I8" i="8"/>
  <c r="H8" i="8"/>
  <c r="G8" i="8"/>
  <c r="F8" i="8"/>
  <c r="L7" i="8"/>
  <c r="K7" i="8"/>
  <c r="G16" i="8" s="1"/>
  <c r="H16" i="8" s="1"/>
  <c r="J7" i="8"/>
  <c r="F15" i="8" s="1"/>
  <c r="I7" i="8"/>
  <c r="F14" i="8" s="1"/>
  <c r="B15" i="1" s="1"/>
  <c r="H7" i="8"/>
  <c r="F13" i="8" s="1"/>
  <c r="G7" i="8"/>
  <c r="F7" i="8"/>
  <c r="L6" i="8"/>
  <c r="K6" i="8"/>
  <c r="J6" i="8"/>
  <c r="I6" i="8"/>
  <c r="H6" i="8"/>
  <c r="G6" i="8"/>
  <c r="F6" i="8"/>
  <c r="H45" i="7"/>
  <c r="G45" i="7"/>
  <c r="F45" i="7"/>
  <c r="E45" i="7"/>
  <c r="D45" i="7"/>
  <c r="C45" i="7"/>
  <c r="H43" i="7"/>
  <c r="G43" i="7"/>
  <c r="F43" i="7"/>
  <c r="E43" i="7"/>
  <c r="D43" i="7"/>
  <c r="C43" i="7"/>
  <c r="B42" i="7"/>
  <c r="H30" i="7"/>
  <c r="G30" i="7"/>
  <c r="F30" i="7"/>
  <c r="E30" i="7"/>
  <c r="D30" i="7"/>
  <c r="C30" i="7"/>
  <c r="H28" i="7"/>
  <c r="G28" i="7"/>
  <c r="F28" i="7"/>
  <c r="E28" i="7"/>
  <c r="D28" i="7"/>
  <c r="C28" i="7"/>
  <c r="B27" i="7"/>
  <c r="H15" i="7"/>
  <c r="G15" i="7"/>
  <c r="F15" i="7"/>
  <c r="E15" i="7"/>
  <c r="D15" i="7"/>
  <c r="C15" i="7"/>
  <c r="B14" i="7"/>
  <c r="C14" i="7" s="1"/>
  <c r="H13" i="7"/>
  <c r="G13" i="7"/>
  <c r="F13" i="7"/>
  <c r="E13" i="7"/>
  <c r="D13" i="7"/>
  <c r="C13" i="7"/>
  <c r="B12" i="7"/>
  <c r="B8" i="7"/>
  <c r="B12" i="10" s="1"/>
  <c r="H7" i="7"/>
  <c r="H6" i="7"/>
  <c r="H5" i="7"/>
  <c r="A44" i="6"/>
  <c r="A43" i="6"/>
  <c r="A42" i="6"/>
  <c r="A41" i="6"/>
  <c r="A40" i="6"/>
  <c r="A39" i="6"/>
  <c r="A38" i="6"/>
  <c r="B28" i="6"/>
  <c r="B22" i="6"/>
  <c r="B20" i="6"/>
  <c r="B18" i="6"/>
  <c r="B17" i="6"/>
  <c r="B11" i="6"/>
  <c r="G6" i="6"/>
  <c r="F6" i="6"/>
  <c r="E6" i="6"/>
  <c r="D6" i="6"/>
  <c r="C6" i="6"/>
  <c r="B6" i="6"/>
  <c r="B14" i="5"/>
  <c r="B13" i="5"/>
  <c r="B15" i="5" s="1"/>
  <c r="B11" i="5"/>
  <c r="B10" i="5"/>
  <c r="B12" i="5" s="1"/>
  <c r="B8" i="5"/>
  <c r="B7" i="5"/>
  <c r="B6" i="5"/>
  <c r="B5" i="5"/>
  <c r="B18" i="4"/>
  <c r="H17" i="4"/>
  <c r="I17" i="4" s="1"/>
  <c r="G17" i="4"/>
  <c r="F17" i="4"/>
  <c r="E17" i="4"/>
  <c r="D17" i="4"/>
  <c r="C17" i="4"/>
  <c r="B16" i="4"/>
  <c r="H15" i="4"/>
  <c r="I15" i="4" s="1"/>
  <c r="G15" i="4"/>
  <c r="F15" i="4"/>
  <c r="E15" i="4"/>
  <c r="D15" i="4"/>
  <c r="C15" i="4"/>
  <c r="H9" i="4"/>
  <c r="I9" i="4" s="1"/>
  <c r="G9" i="4"/>
  <c r="F9" i="4"/>
  <c r="E9" i="4"/>
  <c r="D9" i="4"/>
  <c r="C9" i="4"/>
  <c r="H7" i="4"/>
  <c r="I7" i="4" s="1"/>
  <c r="G7" i="4"/>
  <c r="F7" i="4"/>
  <c r="E7" i="4"/>
  <c r="D7" i="4"/>
  <c r="C7" i="4"/>
  <c r="B6" i="4"/>
  <c r="B10" i="10" s="1"/>
  <c r="I5" i="4"/>
  <c r="H5" i="4"/>
  <c r="G5" i="4"/>
  <c r="F5" i="4"/>
  <c r="E5" i="4"/>
  <c r="D5" i="4"/>
  <c r="C5" i="4"/>
  <c r="C28" i="3"/>
  <c r="B28" i="3"/>
  <c r="E13" i="3"/>
  <c r="B10" i="4" s="1"/>
  <c r="D13" i="3"/>
  <c r="D14" i="3" s="1"/>
  <c r="D15" i="3" s="1"/>
  <c r="C13" i="3"/>
  <c r="C14" i="3" s="1"/>
  <c r="C17" i="3" s="1"/>
  <c r="C20" i="3" s="1"/>
  <c r="C21" i="3" s="1"/>
  <c r="B13" i="3"/>
  <c r="B14" i="3" s="1"/>
  <c r="B17" i="3" s="1"/>
  <c r="B20" i="3" s="1"/>
  <c r="B21" i="3" s="1"/>
  <c r="D10" i="3"/>
  <c r="C10" i="3"/>
  <c r="B10" i="3"/>
  <c r="E9" i="3"/>
  <c r="E10" i="3" s="1"/>
  <c r="D9" i="3"/>
  <c r="D28" i="3" s="1"/>
  <c r="C9" i="3"/>
  <c r="B9" i="3"/>
  <c r="E6" i="3"/>
  <c r="D6" i="3"/>
  <c r="C6" i="3"/>
  <c r="B13" i="1"/>
  <c r="B4" i="1"/>
  <c r="C6" i="4" l="1"/>
  <c r="B16" i="5"/>
  <c r="F16" i="8"/>
  <c r="C10" i="4"/>
  <c r="B44" i="7"/>
  <c r="C44" i="7" s="1"/>
  <c r="B29" i="7"/>
  <c r="C29" i="7" s="1"/>
  <c r="C32" i="7" s="1"/>
  <c r="G13" i="8"/>
  <c r="H13" i="8" s="1"/>
  <c r="B9" i="5"/>
  <c r="B27" i="6" s="1"/>
  <c r="D9" i="9"/>
  <c r="C52" i="7"/>
  <c r="C46" i="7"/>
  <c r="D44" i="7"/>
  <c r="C51" i="7"/>
  <c r="C47" i="7"/>
  <c r="C21" i="7"/>
  <c r="C17" i="7"/>
  <c r="D14" i="7"/>
  <c r="C22" i="7"/>
  <c r="C16" i="7"/>
  <c r="B17" i="5"/>
  <c r="B11" i="10"/>
  <c r="D6" i="4"/>
  <c r="B16" i="8"/>
  <c r="B7" i="9" s="1"/>
  <c r="D17" i="3"/>
  <c r="D20" i="3" s="1"/>
  <c r="D21" i="3" s="1"/>
  <c r="B15" i="3"/>
  <c r="E14" i="3"/>
  <c r="C15" i="3"/>
  <c r="E28" i="3"/>
  <c r="B8" i="4"/>
  <c r="B7" i="4" s="1"/>
  <c r="C36" i="7" l="1"/>
  <c r="C31" i="7"/>
  <c r="C37" i="7"/>
  <c r="C18" i="7"/>
  <c r="D29" i="7"/>
  <c r="C18" i="4"/>
  <c r="C8" i="4"/>
  <c r="C11" i="4" s="1"/>
  <c r="C16" i="4"/>
  <c r="E29" i="7"/>
  <c r="D32" i="7"/>
  <c r="D37" i="7"/>
  <c r="D31" i="7"/>
  <c r="D36" i="7"/>
  <c r="E17" i="3"/>
  <c r="B17" i="8"/>
  <c r="E15" i="3"/>
  <c r="B11" i="4"/>
  <c r="C48" i="7"/>
  <c r="C19" i="7"/>
  <c r="C20" i="7" s="1"/>
  <c r="C23" i="7" s="1"/>
  <c r="D21" i="7"/>
  <c r="E14" i="7"/>
  <c r="D17" i="7"/>
  <c r="D22" i="7"/>
  <c r="D16" i="7"/>
  <c r="D18" i="7" s="1"/>
  <c r="C7" i="9"/>
  <c r="D7" i="9" s="1"/>
  <c r="G14" i="8"/>
  <c r="H14" i="8" s="1"/>
  <c r="E14" i="8"/>
  <c r="B14" i="1" s="1"/>
  <c r="D8" i="4"/>
  <c r="D11" i="4" s="1"/>
  <c r="D10" i="4"/>
  <c r="D16" i="4"/>
  <c r="E6" i="4"/>
  <c r="G37" i="6"/>
  <c r="G7" i="6"/>
  <c r="E37" i="6"/>
  <c r="E7" i="6"/>
  <c r="D37" i="6"/>
  <c r="C37" i="6"/>
  <c r="B37" i="6"/>
  <c r="B7" i="6"/>
  <c r="G7" i="7"/>
  <c r="B12" i="6"/>
  <c r="G6" i="7"/>
  <c r="B5" i="10"/>
  <c r="B12" i="1"/>
  <c r="D7" i="6"/>
  <c r="C7" i="6"/>
  <c r="G5" i="7"/>
  <c r="H37" i="6"/>
  <c r="F37" i="6"/>
  <c r="F7" i="6"/>
  <c r="D18" i="4"/>
  <c r="D52" i="7"/>
  <c r="D46" i="7"/>
  <c r="E44" i="7"/>
  <c r="D47" i="7"/>
  <c r="D51" i="7"/>
  <c r="C33" i="7"/>
  <c r="C13" i="4" l="1"/>
  <c r="C14" i="4" s="1"/>
  <c r="C19" i="4" s="1"/>
  <c r="C12" i="4"/>
  <c r="C34" i="7"/>
  <c r="C35" i="7" s="1"/>
  <c r="C38" i="7" s="1"/>
  <c r="E21" i="7"/>
  <c r="E22" i="7"/>
  <c r="F14" i="7"/>
  <c r="E17" i="7"/>
  <c r="E16" i="7"/>
  <c r="E18" i="7" s="1"/>
  <c r="G15" i="8"/>
  <c r="H15" i="8" s="1"/>
  <c r="C8" i="9"/>
  <c r="E15" i="8"/>
  <c r="B8" i="9"/>
  <c r="E18" i="4"/>
  <c r="E10" i="4"/>
  <c r="E16" i="4"/>
  <c r="F6" i="4"/>
  <c r="E8" i="4"/>
  <c r="E11" i="4" s="1"/>
  <c r="B14" i="4"/>
  <c r="E20" i="3"/>
  <c r="D33" i="7"/>
  <c r="D12" i="4"/>
  <c r="D13" i="4"/>
  <c r="D14" i="4" s="1"/>
  <c r="D19" i="4" s="1"/>
  <c r="E36" i="7"/>
  <c r="F29" i="7"/>
  <c r="E32" i="7"/>
  <c r="E37" i="7"/>
  <c r="E31" i="7"/>
  <c r="E33" i="7" s="1"/>
  <c r="D19" i="7"/>
  <c r="D20" i="7"/>
  <c r="D23" i="7" s="1"/>
  <c r="E51" i="7"/>
  <c r="F44" i="7"/>
  <c r="E47" i="7"/>
  <c r="E52" i="7"/>
  <c r="E46" i="7"/>
  <c r="D48" i="7"/>
  <c r="C49" i="7"/>
  <c r="C50" i="7" s="1"/>
  <c r="C53" i="7" s="1"/>
  <c r="C20" i="4" l="1"/>
  <c r="B5" i="6"/>
  <c r="B8" i="6" s="1"/>
  <c r="D20" i="4"/>
  <c r="C5" i="6"/>
  <c r="F16" i="4"/>
  <c r="F18" i="4"/>
  <c r="G6" i="4"/>
  <c r="F10" i="4"/>
  <c r="F8" i="4"/>
  <c r="F11" i="4" s="1"/>
  <c r="E34" i="7"/>
  <c r="E35" i="7" s="1"/>
  <c r="E38" i="7" s="1"/>
  <c r="E12" i="4"/>
  <c r="E13" i="4"/>
  <c r="E14" i="4" s="1"/>
  <c r="E19" i="4" s="1"/>
  <c r="D34" i="7"/>
  <c r="D35" i="7" s="1"/>
  <c r="D38" i="7" s="1"/>
  <c r="E19" i="7"/>
  <c r="E20" i="7" s="1"/>
  <c r="E23" i="7" s="1"/>
  <c r="E48" i="7"/>
  <c r="F21" i="7"/>
  <c r="G14" i="7"/>
  <c r="F17" i="7"/>
  <c r="F22" i="7"/>
  <c r="F16" i="7"/>
  <c r="F18" i="7" s="1"/>
  <c r="F36" i="7"/>
  <c r="F37" i="7"/>
  <c r="G29" i="7"/>
  <c r="F32" i="7"/>
  <c r="F31" i="7"/>
  <c r="F33" i="7" s="1"/>
  <c r="G44" i="7"/>
  <c r="F47" i="7"/>
  <c r="F52" i="7"/>
  <c r="F46" i="7"/>
  <c r="F48" i="7" s="1"/>
  <c r="F51" i="7"/>
  <c r="D49" i="7"/>
  <c r="D50" i="7" s="1"/>
  <c r="D53" i="7" s="1"/>
  <c r="D8" i="9"/>
  <c r="B19" i="4"/>
  <c r="E21" i="3"/>
  <c r="D5" i="6" l="1"/>
  <c r="D8" i="6" s="1"/>
  <c r="E20" i="4"/>
  <c r="F49" i="7"/>
  <c r="F50" i="7" s="1"/>
  <c r="F53" i="7" s="1"/>
  <c r="G51" i="7"/>
  <c r="H44" i="7"/>
  <c r="G47" i="7"/>
  <c r="G52" i="7"/>
  <c r="G46" i="7"/>
  <c r="G48" i="7" s="1"/>
  <c r="F34" i="7"/>
  <c r="F35" i="7" s="1"/>
  <c r="F38" i="7" s="1"/>
  <c r="H29" i="7"/>
  <c r="G32" i="7"/>
  <c r="G37" i="7"/>
  <c r="G31" i="7"/>
  <c r="G33" i="7" s="1"/>
  <c r="G36" i="7"/>
  <c r="F13" i="4"/>
  <c r="F14" i="4" s="1"/>
  <c r="F19" i="4" s="1"/>
  <c r="F12" i="4"/>
  <c r="F19" i="7"/>
  <c r="F20" i="7" s="1"/>
  <c r="F23" i="7" s="1"/>
  <c r="G10" i="4"/>
  <c r="H6" i="4"/>
  <c r="G16" i="4"/>
  <c r="G8" i="4"/>
  <c r="G18" i="4"/>
  <c r="H14" i="7"/>
  <c r="G17" i="7"/>
  <c r="G22" i="7"/>
  <c r="G16" i="7"/>
  <c r="G18" i="7" s="1"/>
  <c r="G21" i="7"/>
  <c r="E49" i="7"/>
  <c r="E50" i="7" s="1"/>
  <c r="E53" i="7" s="1"/>
  <c r="C8" i="6"/>
  <c r="G11" i="4" l="1"/>
  <c r="G13" i="4" s="1"/>
  <c r="G14" i="4" s="1"/>
  <c r="G19" i="4" s="1"/>
  <c r="E5" i="6"/>
  <c r="F20" i="4"/>
  <c r="H36" i="7"/>
  <c r="H31" i="7"/>
  <c r="H32" i="7"/>
  <c r="H37" i="7"/>
  <c r="G49" i="7"/>
  <c r="G50" i="7" s="1"/>
  <c r="G53" i="7" s="1"/>
  <c r="G34" i="7"/>
  <c r="G35" i="7" s="1"/>
  <c r="G38" i="7" s="1"/>
  <c r="G19" i="7"/>
  <c r="G20" i="7" s="1"/>
  <c r="G23" i="7" s="1"/>
  <c r="H22" i="7"/>
  <c r="H16" i="7"/>
  <c r="H21" i="7"/>
  <c r="H17" i="7"/>
  <c r="H46" i="7"/>
  <c r="H48" i="7" s="1"/>
  <c r="H52" i="7"/>
  <c r="H51" i="7"/>
  <c r="H47" i="7"/>
  <c r="H8" i="4"/>
  <c r="H18" i="4"/>
  <c r="I6" i="4"/>
  <c r="H16" i="4"/>
  <c r="H10" i="4"/>
  <c r="H18" i="7" l="1"/>
  <c r="H19" i="7" s="1"/>
  <c r="H20" i="7" s="1"/>
  <c r="H23" i="7" s="1"/>
  <c r="B24" i="7" s="1"/>
  <c r="B25" i="7" s="1"/>
  <c r="I5" i="7" s="1"/>
  <c r="G12" i="4"/>
  <c r="F5" i="6"/>
  <c r="G20" i="4"/>
  <c r="H11" i="4"/>
  <c r="I8" i="4"/>
  <c r="I16" i="4"/>
  <c r="I10" i="4"/>
  <c r="I18" i="4"/>
  <c r="H33" i="7"/>
  <c r="H49" i="7"/>
  <c r="H50" i="7" s="1"/>
  <c r="H53" i="7" s="1"/>
  <c r="B54" i="7" s="1"/>
  <c r="B55" i="7" s="1"/>
  <c r="I7" i="7" s="1"/>
  <c r="J7" i="7" s="1"/>
  <c r="E8" i="6"/>
  <c r="J5" i="7" l="1"/>
  <c r="H34" i="7"/>
  <c r="H35" i="7" s="1"/>
  <c r="H38" i="7" s="1"/>
  <c r="B39" i="7" s="1"/>
  <c r="B40" i="7" s="1"/>
  <c r="I6" i="7" s="1"/>
  <c r="I11" i="4"/>
  <c r="H13" i="4"/>
  <c r="H14" i="4" s="1"/>
  <c r="H19" i="4" s="1"/>
  <c r="H12" i="4"/>
  <c r="F8" i="6"/>
  <c r="J6" i="7" l="1"/>
  <c r="G5" i="6"/>
  <c r="H20" i="4"/>
  <c r="I13" i="4"/>
  <c r="I14" i="4" s="1"/>
  <c r="I19" i="4" s="1"/>
  <c r="I20" i="4" s="1"/>
  <c r="I12" i="4"/>
  <c r="I8" i="7"/>
  <c r="B13" i="6" l="1"/>
  <c r="B14" i="6" s="1"/>
  <c r="G8" i="6"/>
  <c r="B10" i="6" s="1"/>
  <c r="D43" i="6"/>
  <c r="H41" i="6"/>
  <c r="B39" i="6"/>
  <c r="C44" i="6"/>
  <c r="B43" i="6"/>
  <c r="H42" i="6"/>
  <c r="B38" i="6"/>
  <c r="D44" i="6"/>
  <c r="D40" i="6"/>
  <c r="G39" i="6"/>
  <c r="H43" i="6"/>
  <c r="E41" i="6"/>
  <c r="B42" i="6"/>
  <c r="E38" i="6"/>
  <c r="B41" i="6"/>
  <c r="H40" i="6"/>
  <c r="F42" i="6"/>
  <c r="C41" i="6"/>
  <c r="G44" i="6"/>
  <c r="D39" i="6"/>
  <c r="D42" i="6"/>
  <c r="G38" i="6"/>
  <c r="C42" i="6"/>
  <c r="E43" i="6"/>
  <c r="E42" i="6"/>
  <c r="G40" i="6"/>
  <c r="F40" i="6"/>
  <c r="E39" i="6"/>
  <c r="B40" i="6"/>
  <c r="H39" i="6"/>
  <c r="F39" i="6"/>
  <c r="E40" i="6"/>
  <c r="C40" i="6"/>
  <c r="F38" i="6"/>
  <c r="H38" i="6"/>
  <c r="C38" i="6"/>
  <c r="C39" i="6"/>
  <c r="F41" i="6"/>
  <c r="H44" i="6"/>
  <c r="G41" i="6"/>
  <c r="F43" i="6"/>
  <c r="G43" i="6"/>
  <c r="B44" i="6"/>
  <c r="D38" i="6"/>
  <c r="G42" i="6"/>
  <c r="F44" i="6"/>
  <c r="D41" i="6"/>
  <c r="E44" i="6"/>
  <c r="C43" i="6"/>
  <c r="J8" i="7"/>
  <c r="B6" i="1"/>
  <c r="C6" i="9" l="1"/>
  <c r="B6" i="9"/>
  <c r="B15" i="6"/>
  <c r="B25" i="6"/>
  <c r="D6" i="9" l="1"/>
  <c r="B16" i="6"/>
  <c r="B19" i="6" l="1"/>
  <c r="B6" i="10"/>
  <c r="B24" i="6"/>
  <c r="B14" i="10" s="1"/>
  <c r="B21" i="6" l="1"/>
  <c r="B7" i="10"/>
  <c r="B26" i="6" l="1"/>
  <c r="B23" i="6"/>
  <c r="B5" i="1"/>
  <c r="B9" i="10"/>
  <c r="B8" i="10"/>
  <c r="B29" i="6" l="1"/>
  <c r="B30" i="6" s="1"/>
  <c r="B12" i="9" l="1"/>
  <c r="B32" i="6"/>
  <c r="B31" i="6"/>
  <c r="B8" i="1" s="1"/>
  <c r="B7" i="1"/>
  <c r="B9" i="1" l="1"/>
  <c r="B33" i="6"/>
  <c r="B13" i="9" l="1"/>
  <c r="B10" i="1"/>
  <c r="B15" i="10"/>
  <c r="B17" i="10" s="1"/>
  <c r="B11" i="1" s="1"/>
</calcChain>
</file>

<file path=xl/sharedStrings.xml><?xml version="1.0" encoding="utf-8"?>
<sst xmlns="http://schemas.openxmlformats.org/spreadsheetml/2006/main" count="355" uniqueCount="229">
  <si>
    <t>Mowi ASA (MOWI.OL) – valuation model</t>
  </si>
  <si>
    <t>Generated by Equity Research Engine on 2026-09-21</t>
  </si>
  <si>
    <t>Share price (NOK)</t>
  </si>
  <si>
    <t>DCF fair value per share (NOK)</t>
  </si>
  <si>
    <t>Probability-weighted scenario value (NOK)</t>
  </si>
  <si>
    <t>Target price (NOK)</t>
  </si>
  <si>
    <t>Upside to target price</t>
  </si>
  <si>
    <t>Expected total return</t>
  </si>
  <si>
    <t>Rating</t>
  </si>
  <si>
    <t>Model checks</t>
  </si>
  <si>
    <t>WACC</t>
  </si>
  <si>
    <t>Terminal growth</t>
  </si>
  <si>
    <t>EV/EBITDA (LTM)</t>
  </si>
  <si>
    <t>Peer median EV/EBITDA</t>
  </si>
  <si>
    <t>Legend</t>
  </si>
  <si>
    <t>Blue text = hard-coded input (edit these)</t>
  </si>
  <si>
    <t>Black text = formula</t>
  </si>
  <si>
    <t>Green text = link to another sheet</t>
  </si>
  <si>
    <t>Yellow fill = key assumption</t>
  </si>
  <si>
    <t>Sheets: Inputs -&gt; Historicals -&gt; Forecast -&gt; WACC -&gt; DCF -&gt; Peers -&gt; Football field</t>
  </si>
  <si>
    <t>Lease treatment: operating. Sources: Company reports, Yahoo Finance, Equity Research Engine estimates</t>
  </si>
  <si>
    <t>Accounts in EUR; share price and per-share values in NOK (FX 0.0927 EUR per NOK on the Inputs sheet).</t>
  </si>
  <si>
    <t>Mowi ASA – model inputs</t>
  </si>
  <si>
    <t>All figures in EURm unless stated. Blue = input, black = formula, green = link.</t>
  </si>
  <si>
    <t>Market data</t>
  </si>
  <si>
    <t>Value</t>
  </si>
  <si>
    <t>Source / note</t>
  </si>
  <si>
    <t>Yahoo Finance close</t>
  </si>
  <si>
    <t>FX: EUR per NOK</t>
  </si>
  <si>
    <t>Spot rate; per-share values are shown in the listing currency</t>
  </si>
  <si>
    <t>Shares outstanding (m)</t>
  </si>
  <si>
    <t>Yahoo Finance</t>
  </si>
  <si>
    <t>Net debt</t>
  </si>
  <si>
    <t>Latest balance sheet (ex leases)</t>
  </si>
  <si>
    <t>Minority interest</t>
  </si>
  <si>
    <t>Latest balance sheet</t>
  </si>
  <si>
    <t>Tax rate</t>
  </si>
  <si>
    <t>config</t>
  </si>
  <si>
    <t>Config</t>
  </si>
  <si>
    <t>Risk-free rate</t>
  </si>
  <si>
    <t>Equity risk premium</t>
  </si>
  <si>
    <t>Beta (adjusted)</t>
  </si>
  <si>
    <t>3y weekly regression vs OSEBX (n=156, R2=0.16), Blume-adjusted</t>
  </si>
  <si>
    <t>Size premium</t>
  </si>
  <si>
    <t>size premium 0.00% (market cap USD 11.4bn)</t>
  </si>
  <si>
    <t>Cost of debt (pre-tax)</t>
  </si>
  <si>
    <t>interest expense / average debt</t>
  </si>
  <si>
    <t>Gross debt for WACC weights</t>
  </si>
  <si>
    <t>Mid-year convention (1 = yes)</t>
  </si>
  <si>
    <t>Terminal method (1 = value driver)</t>
  </si>
  <si>
    <t>0 = Gordon growth on FCF; 1 = NOPAT x (1 - g/RONIC) / (WACC - g)</t>
  </si>
  <si>
    <t>RONIC (value driver only)</t>
  </si>
  <si>
    <t>Return on new invested capital</t>
  </si>
  <si>
    <t>Expected dividend per share (NOK)</t>
  </si>
  <si>
    <t>Last year's cash dividend per share</t>
  </si>
  <si>
    <t>Roll-forward months</t>
  </si>
  <si>
    <t>12 = twelve-month target price; 0 = fair value today</t>
  </si>
  <si>
    <t>Target price rounding</t>
  </si>
  <si>
    <t>Weight on DCF in fair value</t>
  </si>
  <si>
    <t>1 = pure DCF (tp_method: dcf); below 1 blends in the peer-multiple value</t>
  </si>
  <si>
    <t>Peer-multiple value per share (NOK)</t>
  </si>
  <si>
    <t>Median of the multiple-implied values (engine)</t>
  </si>
  <si>
    <t>BUY threshold (total return)</t>
  </si>
  <si>
    <t>SELL threshold (total return)</t>
  </si>
  <si>
    <t>Forecast drivers</t>
  </si>
  <si>
    <t>2026E</t>
  </si>
  <si>
    <t>2027E</t>
  </si>
  <si>
    <t>2028E</t>
  </si>
  <si>
    <t>2029E</t>
  </si>
  <si>
    <t>2030E</t>
  </si>
  <si>
    <t>2031E</t>
  </si>
  <si>
    <t>Revenue growth</t>
  </si>
  <si>
    <t>EBITDA margin</t>
  </si>
  <si>
    <t>D&amp;A % of revenue</t>
  </si>
  <si>
    <t>Capex % of revenue</t>
  </si>
  <si>
    <t>Net working capital % of revenue</t>
  </si>
  <si>
    <t>Notes: Revenue growth anchored on consensus (8 analysts), fading linearly to 2.0% terminal growth. EBITDA margin held near the 3-year average of 20.1%. Net working capital held at 49.5% of revenue (3-year average from the balance sheet). Capex normalises from 6.9% to 4.3% of revenue (D&amp;A x 1.05) by 2031E.</t>
  </si>
  <si>
    <t>Lease treatment: operating (lease rate 4.50%). Growth anchor: consensus (8 analysts).</t>
  </si>
  <si>
    <t>Mowi ASA – historical financials (EURm)</t>
  </si>
  <si>
    <t>Source: company reports via Yahoo Finance; lease adjustments per methodology.</t>
  </si>
  <si>
    <t>EURm</t>
  </si>
  <si>
    <t>2022A</t>
  </si>
  <si>
    <t>2023A</t>
  </si>
  <si>
    <t>2024A</t>
  </si>
  <si>
    <t>2025A</t>
  </si>
  <si>
    <t>Revenue</t>
  </si>
  <si>
    <t>Growth</t>
  </si>
  <si>
    <t>EBITDA (reported)</t>
  </si>
  <si>
    <t>Lease cost (rent)</t>
  </si>
  <si>
    <t>EBITDA</t>
  </si>
  <si>
    <t>D&amp;A (reported)</t>
  </si>
  <si>
    <t>Right-of-use depreciation</t>
  </si>
  <si>
    <t>D&amp;A</t>
  </si>
  <si>
    <t>EBIT</t>
  </si>
  <si>
    <t>EBIT margin</t>
  </si>
  <si>
    <t>Tax rate (effective, used)</t>
  </si>
  <si>
    <t>NOPAT</t>
  </si>
  <si>
    <t>Capex</t>
  </si>
  <si>
    <t>Change in NWC</t>
  </si>
  <si>
    <t>Unlevered FCF</t>
  </si>
  <si>
    <t>FCF margin</t>
  </si>
  <si>
    <t>Net income</t>
  </si>
  <si>
    <t>Diluted EPS</t>
  </si>
  <si>
    <t>Cash</t>
  </si>
  <si>
    <t>Total debt (incl. leases)</t>
  </si>
  <si>
    <t>Lease liabilities</t>
  </si>
  <si>
    <t>Net debt (model basis)</t>
  </si>
  <si>
    <t>Net debt / EBITDA</t>
  </si>
  <si>
    <t>Interest expense (ex leases)</t>
  </si>
  <si>
    <t>Mowi ASA – forecast (EURm)</t>
  </si>
  <si>
    <t>Formulas reference the Inputs sheet; last actual year is linked from Historicals.</t>
  </si>
  <si>
    <t>Terminal</t>
  </si>
  <si>
    <t>Tax</t>
  </si>
  <si>
    <t>Cost of capital</t>
  </si>
  <si>
    <t>CAPM cost of equity, after-tax cost of debt, market-value weights.</t>
  </si>
  <si>
    <t>Component</t>
  </si>
  <si>
    <t>Cost of equity</t>
  </si>
  <si>
    <t>Cost of debt (after tax)</t>
  </si>
  <si>
    <t>Equity value (market cap)</t>
  </si>
  <si>
    <t>Debt value</t>
  </si>
  <si>
    <t>Weight of equity</t>
  </si>
  <si>
    <t>Weight of debt</t>
  </si>
  <si>
    <t>Mowi ASA – DCF valuation (EURm)</t>
  </si>
  <si>
    <t>Unlevered FCF discounted at WACC; Gordon growth terminal value.</t>
  </si>
  <si>
    <t>Year</t>
  </si>
  <si>
    <t>Discount period (years)</t>
  </si>
  <si>
    <t>Discount factor</t>
  </si>
  <si>
    <t>PV of FCF</t>
  </si>
  <si>
    <t>Sum of PV of FCF</t>
  </si>
  <si>
    <t>Terminal cash flow (year N+1)</t>
  </si>
  <si>
    <t>Terminal value</t>
  </si>
  <si>
    <t>PV of terminal value</t>
  </si>
  <si>
    <t>Enterprise value</t>
  </si>
  <si>
    <t>Less: net debt</t>
  </si>
  <si>
    <t>Less: minority interest</t>
  </si>
  <si>
    <t>Equity value</t>
  </si>
  <si>
    <t>Fair value per share, DCF (NOK)</t>
  </si>
  <si>
    <t>Current share price (NOK)</t>
  </si>
  <si>
    <t>Upside / (downside) to fair value</t>
  </si>
  <si>
    <t>Terminal value as % of EV</t>
  </si>
  <si>
    <t>Implied exit EV/EBITDA</t>
  </si>
  <si>
    <t>Fair value used for the target price</t>
  </si>
  <si>
    <t>Target price before rounding</t>
  </si>
  <si>
    <t>Expected total return (incl. dividend)</t>
  </si>
  <si>
    <t>Sensitivity: value per share (rows = terminal growth, columns = WACC)</t>
  </si>
  <si>
    <t>g \ WACC</t>
  </si>
  <si>
    <t>Scenario analysis</t>
  </si>
  <si>
    <t>Shifts are additive to the base case (Inputs sheet). Edit the blue cells; every scenario re-runs the full forecast.</t>
  </si>
  <si>
    <t>Scenario</t>
  </si>
  <si>
    <t>Probability</t>
  </si>
  <si>
    <t>Growth shift</t>
  </si>
  <si>
    <t>Margin shift</t>
  </si>
  <si>
    <t>WACC shift</t>
  </si>
  <si>
    <t>Terminal g shift</t>
  </si>
  <si>
    <t>Value per share (NOK)</t>
  </si>
  <si>
    <t>vs price</t>
  </si>
  <si>
    <t>Bear</t>
  </si>
  <si>
    <t>Base</t>
  </si>
  <si>
    <t>Bull</t>
  </si>
  <si>
    <t>Probability-weighted</t>
  </si>
  <si>
    <t>Bear case (EURm)</t>
  </si>
  <si>
    <t>Base case (EURm)</t>
  </si>
  <si>
    <t>Bull case (EURm)</t>
  </si>
  <si>
    <t>Peer multiples</t>
  </si>
  <si>
    <t>Multiples computed from last reported fiscal year; EV on the same lease basis as the target company.</t>
  </si>
  <si>
    <t>Company</t>
  </si>
  <si>
    <t>Ticker</t>
  </si>
  <si>
    <t>Group</t>
  </si>
  <si>
    <t>Market cap (EURm)</t>
  </si>
  <si>
    <t>EV (EURm)</t>
  </si>
  <si>
    <t>Rev. growth</t>
  </si>
  <si>
    <t>EV/Sales</t>
  </si>
  <si>
    <t>EV/EBITDA</t>
  </si>
  <si>
    <t>EV/EBIT</t>
  </si>
  <si>
    <t>P/E</t>
  </si>
  <si>
    <t>P/E (fwd)</t>
  </si>
  <si>
    <t>Average</t>
  </si>
  <si>
    <t>Median</t>
  </si>
  <si>
    <t>25th percentile</t>
  </si>
  <si>
    <t>75th percentile</t>
  </si>
  <si>
    <t>Mowi – current multiples and implied value</t>
  </si>
  <si>
    <t>Multiple</t>
  </si>
  <si>
    <t>Mowi</t>
  </si>
  <si>
    <t>Peer median</t>
  </si>
  <si>
    <t>Implied value/share (NOK)</t>
  </si>
  <si>
    <t>Market cap</t>
  </si>
  <si>
    <t>LTM revenue</t>
  </si>
  <si>
    <t>LTM EBITDA</t>
  </si>
  <si>
    <t>LTM EBIT</t>
  </si>
  <si>
    <t>LTM EPS</t>
  </si>
  <si>
    <t>Valuation summary</t>
  </si>
  <si>
    <t>Ranges feed the football-field chart; DCF range = inner 3x3 of the sensitivity grid.</t>
  </si>
  <si>
    <t>Method</t>
  </si>
  <si>
    <t>Low</t>
  </si>
  <si>
    <t>High</t>
  </si>
  <si>
    <t>Range</t>
  </si>
  <si>
    <t>52-week range</t>
  </si>
  <si>
    <t>DCF (WACC ±0.5%, g ±0.25%)</t>
  </si>
  <si>
    <t>EV/EBITDA (peer 25th–75th pct)</t>
  </si>
  <si>
    <t>EV/EBIT (peer 25th–75th pct)</t>
  </si>
  <si>
    <t>P/E (peer 25th–75th pct)</t>
  </si>
  <si>
    <t>Model integrity checks</t>
  </si>
  <si>
    <t>Every check must read TRUE. A FALSE means an input or formula has been broken.</t>
  </si>
  <si>
    <t>Check</t>
  </si>
  <si>
    <t>Result</t>
  </si>
  <si>
    <t>What it protects against</t>
  </si>
  <si>
    <t>WACC exceeds terminal growth</t>
  </si>
  <si>
    <t>A perpetuity needs WACC &gt; g</t>
  </si>
  <si>
    <t>Enterprise value = PV of FCF + PV of terminal value</t>
  </si>
  <si>
    <t>Broken bridge formulas</t>
  </si>
  <si>
    <t>Equity value = EV - net debt - minorities</t>
  </si>
  <si>
    <t>Sign errors in the bridge</t>
  </si>
  <si>
    <t>Sensitivity centre equals the DCF fair value</t>
  </si>
  <si>
    <t>Sensitivity grid out of sync with the model</t>
  </si>
  <si>
    <t>Base scenario reproduces the DCF fair value</t>
  </si>
  <si>
    <t>Scenario blocks drifting from the forecast</t>
  </si>
  <si>
    <t>Forecast starts from the last reported revenue</t>
  </si>
  <si>
    <t>Stale links</t>
  </si>
  <si>
    <t>Capital structure weights sum to 100%</t>
  </si>
  <si>
    <t>WACC weights</t>
  </si>
  <si>
    <t>Scenario probabilities sum to 100%</t>
  </si>
  <si>
    <t>Probability-weighted value</t>
  </si>
  <si>
    <t>Share price, shares and FX are positive</t>
  </si>
  <si>
    <t>Missing market data</t>
  </si>
  <si>
    <t>Terminal value below 85% of enterprise value</t>
  </si>
  <si>
    <t>Valuation resting almost entirely on the perpetuity</t>
  </si>
  <si>
    <t>No error values in Forecast, DCF or Scenarios</t>
  </si>
  <si>
    <t>#REF!, #DIV/0! and friends</t>
  </si>
  <si>
    <t>Overall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</si>
</sst>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(#,##0.00\);&quot;-&quot;"/>
    <numFmt numFmtId="165" formatCode="0.0000"/>
    <numFmt numFmtId="166" formatCode="#,##0.0;\(#,##0.0\);&quot;-&quot;"/>
    <numFmt numFmtId="167" formatCode="#,##0;\(#,##0\);&quot;-&quot;"/>
    <numFmt numFmtId="168" formatCode="0.0%"/>
    <numFmt numFmtId="169" formatCode="0.0&quot;x&quot;"/>
    <numFmt numFmtId="170" formatCode="0.000"/>
  </numFmts>
  <fonts count="12" x14ac:knownFonts="1">
    <font>
      <sz val="11"/>
      <color theme="1"/>
      <name val="Calibri"/>
      <family val="2"/>
      <scheme val="minor"/>
    </font>
    <font>
      <b/>
      <sz val="14"/>
      <color rgb="FF003255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sz val="9"/>
      <color rgb="FF0000FF"/>
      <name val="Arial"/>
    </font>
    <font>
      <b/>
      <sz val="9"/>
      <color rgb="FF000000"/>
      <name val="Arial"/>
    </font>
    <font>
      <i/>
      <sz val="9"/>
      <color rgb="FF000000"/>
      <name val="Arial"/>
    </font>
    <font>
      <sz val="9"/>
      <color rgb="FF008000"/>
      <name val="Arial"/>
    </font>
    <font>
      <i/>
      <sz val="9"/>
      <color rgb="FF008000"/>
      <name val="Arial"/>
    </font>
    <font>
      <b/>
      <sz val="9"/>
      <color rgb="FF008000"/>
      <name val="Arial"/>
    </font>
    <font>
      <b/>
      <sz val="9"/>
      <color rgb="FF003255"/>
      <name val="Arial"/>
    </font>
  </fonts>
  <fills count="5">
    <fill>
      <patternFill patternType="none"/>
    </fill>
    <fill>
      <patternFill patternType="gray125"/>
    </fill>
    <fill>
      <patternFill patternType="solid">
        <fgColor rgb="FF003255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164" fontId="8" fillId="0" borderId="0" xfId="0" applyNumberFormat="1" applyFont="1"/>
    <xf numFmtId="168" fontId="8" fillId="0" borderId="0" xfId="0" applyNumberFormat="1" applyFont="1"/>
    <xf numFmtId="0" fontId="8" fillId="0" borderId="0" xfId="0" applyFont="1"/>
    <xf numFmtId="10" fontId="8" fillId="0" borderId="0" xfId="0" applyNumberFormat="1" applyFont="1"/>
    <xf numFmtId="169" fontId="8" fillId="0" borderId="0" xfId="0" applyNumberFormat="1" applyFont="1"/>
    <xf numFmtId="0" fontId="11" fillId="0" borderId="0" xfId="0" applyFont="1"/>
    <xf numFmtId="0" fontId="5" fillId="0" borderId="0" xfId="0" applyFont="1"/>
    <xf numFmtId="0" fontId="4" fillId="0" borderId="0" xfId="0" applyFont="1"/>
    <xf numFmtId="0" fontId="4" fillId="3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5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0" fontId="5" fillId="3" borderId="0" xfId="0" applyNumberFormat="1" applyFont="1" applyFill="1"/>
    <xf numFmtId="10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8" fontId="5" fillId="3" borderId="0" xfId="0" applyNumberFormat="1" applyFont="1" applyFill="1"/>
    <xf numFmtId="0" fontId="7" fillId="0" borderId="0" xfId="0" applyFont="1"/>
    <xf numFmtId="168" fontId="7" fillId="0" borderId="0" xfId="0" applyNumberFormat="1" applyFont="1"/>
    <xf numFmtId="167" fontId="6" fillId="0" borderId="0" xfId="0" applyNumberFormat="1" applyFont="1"/>
    <xf numFmtId="167" fontId="4" fillId="0" borderId="0" xfId="0" applyNumberFormat="1" applyFont="1"/>
    <xf numFmtId="169" fontId="4" fillId="0" borderId="0" xfId="0" applyNumberFormat="1" applyFont="1"/>
    <xf numFmtId="168" fontId="9" fillId="0" borderId="0" xfId="0" applyNumberFormat="1" applyFont="1"/>
    <xf numFmtId="167" fontId="8" fillId="0" borderId="0" xfId="0" applyNumberFormat="1" applyFont="1"/>
    <xf numFmtId="10" fontId="6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7" fontId="10" fillId="0" borderId="0" xfId="0" applyNumberFormat="1" applyFont="1"/>
    <xf numFmtId="166" fontId="4" fillId="0" borderId="0" xfId="0" applyNumberFormat="1" applyFont="1"/>
    <xf numFmtId="170" fontId="4" fillId="0" borderId="0" xfId="0" applyNumberFormat="1" applyFont="1"/>
    <xf numFmtId="166" fontId="8" fillId="0" borderId="0" xfId="0" applyNumberFormat="1" applyFont="1"/>
    <xf numFmtId="164" fontId="6" fillId="3" borderId="0" xfId="0" applyNumberFormat="1" applyFont="1" applyFill="1"/>
    <xf numFmtId="168" fontId="6" fillId="0" borderId="0" xfId="0" applyNumberFormat="1" applyFont="1"/>
    <xf numFmtId="164" fontId="4" fillId="0" borderId="0" xfId="0" applyNumberFormat="1" applyFont="1"/>
    <xf numFmtId="10" fontId="6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6" fillId="3" borderId="0" xfId="0" applyNumberFormat="1" applyFont="1" applyFill="1" applyAlignment="1">
      <alignment horizontal="center" vertical="center"/>
    </xf>
    <xf numFmtId="164" fontId="6" fillId="0" borderId="0" xfId="0" applyNumberFormat="1" applyFont="1"/>
    <xf numFmtId="0" fontId="10" fillId="0" borderId="0" xfId="0" applyFont="1" applyAlignment="1">
      <alignment horizontal="center" vertical="center"/>
    </xf>
    <xf numFmtId="168" fontId="6" fillId="0" borderId="1" xfId="0" applyNumberFormat="1" applyFont="1" applyBorder="1"/>
    <xf numFmtId="169" fontId="6" fillId="0" borderId="1" xfId="0" applyNumberFormat="1" applyFont="1" applyBorder="1"/>
    <xf numFmtId="169" fontId="6" fillId="0" borderId="0" xfId="0" applyNumberFormat="1" applyFont="1"/>
    <xf numFmtId="164" fontId="8" fillId="3" borderId="0" xfId="0" applyNumberFormat="1" applyFont="1" applyFill="1"/>
    <xf numFmtId="0" fontId="10" fillId="0" borderId="0" xfId="0" applyFont="1"/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t>Football field (value per share)</a:t>
            </a:r>
          </a:p>
        </c:rich>
      </c:tx>
      <c:overlay val="1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'Football field'!$B$4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field'!$B$5:$B$9</c:f>
              <c:numCache>
                <c:formatCode>#,##0.00;\(#,##0.00\);"-"</c:formatCode>
                <c:ptCount val="5"/>
                <c:pt idx="0">
                  <c:v>179.4</c:v>
                </c:pt>
                <c:pt idx="1">
                  <c:v>233.41881349353991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4A-4E0B-BF82-738131F53681}"/>
            </c:ext>
          </c:extLst>
        </c:ser>
        <c:ser>
          <c:idx val="1"/>
          <c:order val="1"/>
          <c:tx>
            <c:strRef>
              <c:f>'Football field'!$D$4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003255"/>
            </a:solidFill>
            <a:ln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field'!$D$5:$D$9</c:f>
              <c:numCache>
                <c:formatCode>#,##0.00;\(#,##0.00\);"-"</c:formatCode>
                <c:ptCount val="5"/>
                <c:pt idx="0">
                  <c:v>66.400000000000006</c:v>
                </c:pt>
                <c:pt idx="1">
                  <c:v>111.81510041731724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E4A-4E0B-BF82-738131F53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;\(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workbookViewId="0"/>
  </sheetViews>
  <sheetFormatPr defaultRowHeight="14.5" x14ac:dyDescent="0.35"/>
  <cols>
    <col min="1" max="1" width="30" customWidth="1"/>
    <col min="2" max="2" width="18" customWidth="1"/>
    <col min="3" max="3" width="60" customWidth="1"/>
  </cols>
  <sheetData>
    <row r="1" spans="1:2" ht="18" x14ac:dyDescent="0.4">
      <c r="A1" s="1" t="s">
        <v>0</v>
      </c>
    </row>
    <row r="2" spans="1:2" x14ac:dyDescent="0.35">
      <c r="A2" s="2" t="s">
        <v>1</v>
      </c>
    </row>
    <row r="4" spans="1:2" x14ac:dyDescent="0.35">
      <c r="A4" s="3" t="s">
        <v>2</v>
      </c>
      <c r="B4" s="4">
        <f>Inputs!$B$5</f>
        <v>202</v>
      </c>
    </row>
    <row r="5" spans="1:2" x14ac:dyDescent="0.35">
      <c r="A5" s="3" t="s">
        <v>3</v>
      </c>
      <c r="B5" s="4">
        <f>DCF!B21</f>
        <v>280.32364155169148</v>
      </c>
    </row>
    <row r="6" spans="1:2" x14ac:dyDescent="0.35">
      <c r="A6" s="3" t="s">
        <v>4</v>
      </c>
      <c r="B6" s="4">
        <f>Scenarios!$I$8</f>
        <v>290.04277502152661</v>
      </c>
    </row>
    <row r="7" spans="1:2" x14ac:dyDescent="0.35">
      <c r="A7" s="3" t="s">
        <v>5</v>
      </c>
      <c r="B7" s="4">
        <f>DCF!B30</f>
        <v>295.5</v>
      </c>
    </row>
    <row r="8" spans="1:2" x14ac:dyDescent="0.35">
      <c r="A8" s="3" t="s">
        <v>6</v>
      </c>
      <c r="B8" s="5">
        <f>DCF!B31</f>
        <v>0.46287128712871284</v>
      </c>
    </row>
    <row r="9" spans="1:2" x14ac:dyDescent="0.35">
      <c r="A9" s="3" t="s">
        <v>7</v>
      </c>
      <c r="B9" s="5">
        <f>DCF!B32</f>
        <v>0.49298436190161055</v>
      </c>
    </row>
    <row r="10" spans="1:2" x14ac:dyDescent="0.35">
      <c r="A10" s="3" t="s">
        <v>8</v>
      </c>
      <c r="B10" s="6" t="str">
        <f>DCF!B33</f>
        <v>BUY</v>
      </c>
    </row>
    <row r="11" spans="1:2" x14ac:dyDescent="0.35">
      <c r="A11" s="3" t="s">
        <v>9</v>
      </c>
      <c r="B11" s="6" t="str">
        <f>Checks!$B$17</f>
        <v>ALL OK</v>
      </c>
    </row>
    <row r="12" spans="1:2" x14ac:dyDescent="0.35">
      <c r="A12" s="3" t="s">
        <v>10</v>
      </c>
      <c r="B12" s="7">
        <f>WACC!$B$17</f>
        <v>6.6497537129366166E-2</v>
      </c>
    </row>
    <row r="13" spans="1:2" x14ac:dyDescent="0.35">
      <c r="A13" s="3" t="s">
        <v>11</v>
      </c>
      <c r="B13" s="7">
        <f>Inputs!$B$11</f>
        <v>0.02</v>
      </c>
    </row>
    <row r="14" spans="1:2" x14ac:dyDescent="0.35">
      <c r="A14" s="3" t="s">
        <v>12</v>
      </c>
      <c r="B14" s="8">
        <f>Peers!E14</f>
        <v>10.699081418974405</v>
      </c>
    </row>
    <row r="15" spans="1:2" x14ac:dyDescent="0.35">
      <c r="A15" s="3" t="s">
        <v>13</v>
      </c>
      <c r="B15" s="8" t="str">
        <f>Peers!F14</f>
        <v/>
      </c>
    </row>
    <row r="18" spans="1:1" x14ac:dyDescent="0.35">
      <c r="A18" s="9" t="s">
        <v>14</v>
      </c>
    </row>
    <row r="19" spans="1:1" x14ac:dyDescent="0.35">
      <c r="A19" s="10" t="s">
        <v>15</v>
      </c>
    </row>
    <row r="20" spans="1:1" x14ac:dyDescent="0.35">
      <c r="A20" s="11" t="s">
        <v>16</v>
      </c>
    </row>
    <row r="21" spans="1:1" x14ac:dyDescent="0.35">
      <c r="A21" s="6" t="s">
        <v>17</v>
      </c>
    </row>
    <row r="22" spans="1:1" x14ac:dyDescent="0.35">
      <c r="A22" s="12" t="s">
        <v>18</v>
      </c>
    </row>
    <row r="24" spans="1:1" x14ac:dyDescent="0.35">
      <c r="A24" s="2" t="s">
        <v>19</v>
      </c>
    </row>
    <row r="25" spans="1:1" x14ac:dyDescent="0.35">
      <c r="A25" s="2" t="s">
        <v>20</v>
      </c>
    </row>
    <row r="26" spans="1:1" x14ac:dyDescent="0.35">
      <c r="A26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4" customWidth="1"/>
  </cols>
  <sheetData>
    <row r="1" spans="1:3" ht="18" x14ac:dyDescent="0.4">
      <c r="A1" s="1" t="s">
        <v>22</v>
      </c>
    </row>
    <row r="2" spans="1:3" x14ac:dyDescent="0.35">
      <c r="A2" s="2" t="s">
        <v>23</v>
      </c>
    </row>
    <row r="4" spans="1:3" x14ac:dyDescent="0.35">
      <c r="A4" s="13" t="s">
        <v>24</v>
      </c>
      <c r="B4" s="14" t="s">
        <v>25</v>
      </c>
      <c r="C4" s="13" t="s">
        <v>26</v>
      </c>
    </row>
    <row r="5" spans="1:3" x14ac:dyDescent="0.35">
      <c r="A5" s="11" t="s">
        <v>2</v>
      </c>
      <c r="B5" s="15">
        <v>202</v>
      </c>
      <c r="C5" s="2" t="s">
        <v>27</v>
      </c>
    </row>
    <row r="6" spans="1:3" x14ac:dyDescent="0.35">
      <c r="A6" s="11" t="s">
        <v>28</v>
      </c>
      <c r="B6" s="16">
        <v>9.2660002410411835E-2</v>
      </c>
      <c r="C6" s="2" t="s">
        <v>29</v>
      </c>
    </row>
    <row r="7" spans="1:3" x14ac:dyDescent="0.35">
      <c r="A7" s="11" t="s">
        <v>30</v>
      </c>
      <c r="B7" s="17">
        <v>527.29059600000005</v>
      </c>
      <c r="C7" s="2" t="s">
        <v>31</v>
      </c>
    </row>
    <row r="8" spans="1:3" x14ac:dyDescent="0.35">
      <c r="A8" s="11" t="s">
        <v>32</v>
      </c>
      <c r="B8" s="18">
        <v>2662</v>
      </c>
      <c r="C8" s="2" t="s">
        <v>33</v>
      </c>
    </row>
    <row r="9" spans="1:3" x14ac:dyDescent="0.35">
      <c r="A9" s="11" t="s">
        <v>34</v>
      </c>
      <c r="B9" s="18">
        <v>193.9</v>
      </c>
      <c r="C9" s="2" t="s">
        <v>35</v>
      </c>
    </row>
    <row r="10" spans="1:3" x14ac:dyDescent="0.35">
      <c r="A10" s="11" t="s">
        <v>36</v>
      </c>
      <c r="B10" s="19">
        <v>0.22</v>
      </c>
      <c r="C10" s="2" t="s">
        <v>37</v>
      </c>
    </row>
    <row r="11" spans="1:3" x14ac:dyDescent="0.35">
      <c r="A11" s="11" t="s">
        <v>11</v>
      </c>
      <c r="B11" s="20">
        <v>0.02</v>
      </c>
      <c r="C11" s="2" t="s">
        <v>38</v>
      </c>
    </row>
    <row r="12" spans="1:3" x14ac:dyDescent="0.35">
      <c r="A12" s="11" t="s">
        <v>39</v>
      </c>
      <c r="B12" s="21">
        <v>3.7999999999999999E-2</v>
      </c>
      <c r="C12" s="2" t="s">
        <v>38</v>
      </c>
    </row>
    <row r="13" spans="1:3" x14ac:dyDescent="0.35">
      <c r="A13" s="11" t="s">
        <v>40</v>
      </c>
      <c r="B13" s="21">
        <v>0.05</v>
      </c>
      <c r="C13" s="2" t="s">
        <v>38</v>
      </c>
    </row>
    <row r="14" spans="1:3" x14ac:dyDescent="0.35">
      <c r="A14" s="11" t="s">
        <v>41</v>
      </c>
      <c r="B14" s="15">
        <v>0.77177997828666922</v>
      </c>
      <c r="C14" s="2" t="s">
        <v>42</v>
      </c>
    </row>
    <row r="15" spans="1:3" x14ac:dyDescent="0.35">
      <c r="A15" s="11" t="s">
        <v>43</v>
      </c>
      <c r="B15" s="21">
        <v>0</v>
      </c>
      <c r="C15" s="2" t="s">
        <v>44</v>
      </c>
    </row>
    <row r="16" spans="1:3" x14ac:dyDescent="0.35">
      <c r="A16" s="11" t="s">
        <v>45</v>
      </c>
      <c r="B16" s="21">
        <v>4.1821650677809817E-2</v>
      </c>
      <c r="C16" s="2" t="s">
        <v>46</v>
      </c>
    </row>
    <row r="17" spans="1:7" x14ac:dyDescent="0.35">
      <c r="A17" s="11" t="s">
        <v>47</v>
      </c>
      <c r="B17" s="18">
        <v>2940</v>
      </c>
      <c r="C17" s="2" t="s">
        <v>35</v>
      </c>
    </row>
    <row r="18" spans="1:7" x14ac:dyDescent="0.35">
      <c r="A18" s="11" t="s">
        <v>48</v>
      </c>
      <c r="B18" s="22">
        <v>0</v>
      </c>
      <c r="C18" s="2" t="s">
        <v>38</v>
      </c>
    </row>
    <row r="19" spans="1:7" x14ac:dyDescent="0.35">
      <c r="A19" s="11" t="s">
        <v>49</v>
      </c>
      <c r="B19" s="22">
        <v>0</v>
      </c>
      <c r="C19" s="2" t="s">
        <v>50</v>
      </c>
    </row>
    <row r="20" spans="1:7" x14ac:dyDescent="0.35">
      <c r="A20" s="11" t="s">
        <v>51</v>
      </c>
      <c r="B20" s="21">
        <v>8.649753712936617E-2</v>
      </c>
      <c r="C20" s="2" t="s">
        <v>52</v>
      </c>
    </row>
    <row r="21" spans="1:7" x14ac:dyDescent="0.35">
      <c r="A21" s="11" t="s">
        <v>53</v>
      </c>
      <c r="B21" s="23">
        <v>6.0828411041253387</v>
      </c>
      <c r="C21" s="2" t="s">
        <v>54</v>
      </c>
    </row>
    <row r="22" spans="1:7" x14ac:dyDescent="0.35">
      <c r="A22" s="11" t="s">
        <v>55</v>
      </c>
      <c r="B22" s="22">
        <v>12</v>
      </c>
      <c r="C22" s="2" t="s">
        <v>56</v>
      </c>
    </row>
    <row r="23" spans="1:7" x14ac:dyDescent="0.35">
      <c r="A23" s="11" t="s">
        <v>57</v>
      </c>
      <c r="B23" s="23">
        <v>0.5</v>
      </c>
      <c r="C23" s="2" t="s">
        <v>38</v>
      </c>
    </row>
    <row r="24" spans="1:7" x14ac:dyDescent="0.35">
      <c r="A24" s="11" t="s">
        <v>58</v>
      </c>
      <c r="B24" s="19">
        <v>1</v>
      </c>
      <c r="C24" s="2" t="s">
        <v>59</v>
      </c>
    </row>
    <row r="25" spans="1:7" x14ac:dyDescent="0.35">
      <c r="A25" s="11" t="s">
        <v>60</v>
      </c>
      <c r="B25" s="23">
        <v>0</v>
      </c>
      <c r="C25" s="2" t="s">
        <v>61</v>
      </c>
    </row>
    <row r="26" spans="1:7" x14ac:dyDescent="0.35">
      <c r="A26" s="11" t="s">
        <v>62</v>
      </c>
      <c r="B26" s="19">
        <v>0.15</v>
      </c>
      <c r="C26" s="2" t="s">
        <v>38</v>
      </c>
    </row>
    <row r="27" spans="1:7" x14ac:dyDescent="0.35">
      <c r="A27" s="11" t="s">
        <v>63</v>
      </c>
      <c r="B27" s="19">
        <v>-0.1</v>
      </c>
      <c r="C27" s="2" t="s">
        <v>38</v>
      </c>
    </row>
    <row r="30" spans="1:7" x14ac:dyDescent="0.35">
      <c r="A30" s="13" t="s">
        <v>64</v>
      </c>
      <c r="B30" s="14" t="s">
        <v>65</v>
      </c>
      <c r="C30" s="14" t="s">
        <v>66</v>
      </c>
      <c r="D30" s="14" t="s">
        <v>67</v>
      </c>
      <c r="E30" s="14" t="s">
        <v>68</v>
      </c>
      <c r="F30" s="14" t="s">
        <v>69</v>
      </c>
      <c r="G30" s="14" t="s">
        <v>70</v>
      </c>
    </row>
    <row r="31" spans="1:7" x14ac:dyDescent="0.35">
      <c r="A31" s="11" t="s">
        <v>71</v>
      </c>
      <c r="B31" s="24">
        <v>0.1154</v>
      </c>
      <c r="C31" s="24">
        <v>7.7399999999999997E-2</v>
      </c>
      <c r="D31" s="24">
        <v>6.3049999999999995E-2</v>
      </c>
      <c r="E31" s="24">
        <v>4.87E-2</v>
      </c>
      <c r="F31" s="24">
        <v>3.4350000000000012E-2</v>
      </c>
      <c r="G31" s="24">
        <v>0.02</v>
      </c>
    </row>
    <row r="32" spans="1:7" x14ac:dyDescent="0.35">
      <c r="A32" s="11" t="s">
        <v>72</v>
      </c>
      <c r="B32" s="24">
        <v>0.20777620198107291</v>
      </c>
      <c r="C32" s="24">
        <v>0.20647322066895049</v>
      </c>
      <c r="D32" s="24">
        <v>0.20517023935682821</v>
      </c>
      <c r="E32" s="24">
        <v>0.20386725804470579</v>
      </c>
      <c r="F32" s="24">
        <v>0.2025642767325834</v>
      </c>
      <c r="G32" s="24">
        <v>0.20126129542046101</v>
      </c>
    </row>
    <row r="33" spans="1:7" x14ac:dyDescent="0.35">
      <c r="A33" s="11" t="s">
        <v>73</v>
      </c>
      <c r="B33" s="24">
        <v>4.0873530285875308E-2</v>
      </c>
      <c r="C33" s="24">
        <v>4.0873530285875308E-2</v>
      </c>
      <c r="D33" s="24">
        <v>4.0873530285875308E-2</v>
      </c>
      <c r="E33" s="24">
        <v>4.0873530285875308E-2</v>
      </c>
      <c r="F33" s="24">
        <v>4.0873530285875308E-2</v>
      </c>
      <c r="G33" s="24">
        <v>4.0873530285875308E-2</v>
      </c>
    </row>
    <row r="34" spans="1:7" x14ac:dyDescent="0.35">
      <c r="A34" s="11" t="s">
        <v>74</v>
      </c>
      <c r="B34" s="24">
        <v>6.8565279573521307E-2</v>
      </c>
      <c r="C34" s="24">
        <v>6.3435665018850868E-2</v>
      </c>
      <c r="D34" s="24">
        <v>5.8306050464180408E-2</v>
      </c>
      <c r="E34" s="24">
        <v>5.3176435909509968E-2</v>
      </c>
      <c r="F34" s="24">
        <v>4.8046821354839522E-2</v>
      </c>
      <c r="G34" s="24">
        <v>4.2917206800169083E-2</v>
      </c>
    </row>
    <row r="35" spans="1:7" x14ac:dyDescent="0.35">
      <c r="A35" s="11" t="s">
        <v>75</v>
      </c>
      <c r="B35" s="24">
        <v>0.49520563523441158</v>
      </c>
      <c r="C35" s="24">
        <v>0.49520563523441158</v>
      </c>
      <c r="D35" s="24">
        <v>0.49520563523441158</v>
      </c>
      <c r="E35" s="24">
        <v>0.49520563523441158</v>
      </c>
      <c r="F35" s="24">
        <v>0.49520563523441158</v>
      </c>
      <c r="G35" s="24">
        <v>0.49520563523441158</v>
      </c>
    </row>
    <row r="37" spans="1:7" x14ac:dyDescent="0.35">
      <c r="A37" s="2" t="s">
        <v>76</v>
      </c>
    </row>
    <row r="38" spans="1:7" x14ac:dyDescent="0.35">
      <c r="A38" s="2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5" width="12" customWidth="1"/>
  </cols>
  <sheetData>
    <row r="1" spans="1:5" ht="18" x14ac:dyDescent="0.4">
      <c r="A1" s="1" t="s">
        <v>78</v>
      </c>
    </row>
    <row r="2" spans="1:5" x14ac:dyDescent="0.35">
      <c r="A2" s="2" t="s">
        <v>79</v>
      </c>
    </row>
    <row r="4" spans="1:5" x14ac:dyDescent="0.35">
      <c r="A4" s="13" t="s">
        <v>80</v>
      </c>
      <c r="B4" s="14" t="s">
        <v>81</v>
      </c>
      <c r="C4" s="14" t="s">
        <v>82</v>
      </c>
      <c r="D4" s="14" t="s">
        <v>83</v>
      </c>
      <c r="E4" s="14" t="s">
        <v>84</v>
      </c>
    </row>
    <row r="5" spans="1:5" x14ac:dyDescent="0.35">
      <c r="A5" s="3" t="s">
        <v>85</v>
      </c>
      <c r="B5" s="18">
        <v>4907.3</v>
      </c>
      <c r="C5" s="18">
        <v>5478.3</v>
      </c>
      <c r="D5" s="18">
        <v>5566.4</v>
      </c>
      <c r="E5" s="18">
        <v>5688.7</v>
      </c>
    </row>
    <row r="6" spans="1:5" x14ac:dyDescent="0.35">
      <c r="A6" s="25" t="s">
        <v>86</v>
      </c>
      <c r="B6" s="26"/>
      <c r="C6" s="26">
        <f>IF(B5=0,"",C5/B5-1)</f>
        <v>0.11635726366841226</v>
      </c>
      <c r="D6" s="26">
        <f>IF(C5=0,"",D5/C5-1)</f>
        <v>1.6081631162951915E-2</v>
      </c>
      <c r="E6" s="26">
        <f>IF(D5=0,"",E5/D5-1)</f>
        <v>2.1971112388617486E-2</v>
      </c>
    </row>
    <row r="7" spans="1:5" x14ac:dyDescent="0.35">
      <c r="A7" s="11" t="s">
        <v>87</v>
      </c>
      <c r="B7" s="18">
        <v>1440.1</v>
      </c>
      <c r="C7" s="18">
        <v>1415.6</v>
      </c>
      <c r="D7" s="18">
        <v>1223</v>
      </c>
      <c r="E7" s="18">
        <v>1416.4</v>
      </c>
    </row>
    <row r="8" spans="1:5" x14ac:dyDescent="0.35">
      <c r="A8" s="11" t="s">
        <v>88</v>
      </c>
      <c r="B8" s="18">
        <v>220.43049999999991</v>
      </c>
      <c r="C8" s="18">
        <v>217.27574999999999</v>
      </c>
      <c r="D8" s="18">
        <v>243.51099999999991</v>
      </c>
      <c r="E8" s="18">
        <v>227.01124999999999</v>
      </c>
    </row>
    <row r="9" spans="1:5" x14ac:dyDescent="0.35">
      <c r="A9" s="3" t="s">
        <v>89</v>
      </c>
      <c r="B9" s="27">
        <f>B7-B8</f>
        <v>1219.6695</v>
      </c>
      <c r="C9" s="27">
        <f>C7-C8</f>
        <v>1198.3242499999999</v>
      </c>
      <c r="D9" s="27">
        <f>D7-D8</f>
        <v>979.48900000000003</v>
      </c>
      <c r="E9" s="27">
        <f>E7-E8</f>
        <v>1189.3887500000001</v>
      </c>
    </row>
    <row r="10" spans="1:5" x14ac:dyDescent="0.35">
      <c r="A10" s="25" t="s">
        <v>72</v>
      </c>
      <c r="B10" s="26">
        <f>IF(B5=0,"",B9/B5)</f>
        <v>0.24854186619933566</v>
      </c>
      <c r="C10" s="26">
        <f>IF(C5=0,"",C9/C5)</f>
        <v>0.21874016574484784</v>
      </c>
      <c r="D10" s="26">
        <f>IF(D5=0,"",D9/D5)</f>
        <v>0.17596453722334005</v>
      </c>
      <c r="E10" s="26">
        <f>IF(E5=0,"",E9/E5)</f>
        <v>0.2090791832931953</v>
      </c>
    </row>
    <row r="11" spans="1:5" x14ac:dyDescent="0.35">
      <c r="A11" s="11" t="s">
        <v>90</v>
      </c>
      <c r="B11" s="18">
        <v>386.6</v>
      </c>
      <c r="C11" s="18">
        <v>403.8</v>
      </c>
      <c r="D11" s="18">
        <v>447.8</v>
      </c>
      <c r="E11" s="18">
        <v>454</v>
      </c>
    </row>
    <row r="12" spans="1:5" x14ac:dyDescent="0.35">
      <c r="A12" s="11" t="s">
        <v>91</v>
      </c>
      <c r="B12" s="18">
        <v>199.59999999999991</v>
      </c>
      <c r="C12" s="18">
        <v>196.2</v>
      </c>
      <c r="D12" s="18">
        <v>221.1999999999999</v>
      </c>
      <c r="E12" s="18">
        <v>203.6</v>
      </c>
    </row>
    <row r="13" spans="1:5" x14ac:dyDescent="0.35">
      <c r="A13" s="11" t="s">
        <v>92</v>
      </c>
      <c r="B13" s="28">
        <f>MAX(B11-B12,0)</f>
        <v>187.00000000000011</v>
      </c>
      <c r="C13" s="28">
        <f>MAX(C11-C12,0)</f>
        <v>207.60000000000002</v>
      </c>
      <c r="D13" s="28">
        <f>MAX(D11-D12,0)</f>
        <v>226.60000000000011</v>
      </c>
      <c r="E13" s="28">
        <f>MAX(E11-E12,0)</f>
        <v>250.4</v>
      </c>
    </row>
    <row r="14" spans="1:5" x14ac:dyDescent="0.35">
      <c r="A14" s="3" t="s">
        <v>93</v>
      </c>
      <c r="B14" s="27">
        <f>B9-B13</f>
        <v>1032.6695</v>
      </c>
      <c r="C14" s="27">
        <f>C9-C13</f>
        <v>990.72424999999987</v>
      </c>
      <c r="D14" s="27">
        <f>D9-D13</f>
        <v>752.8889999999999</v>
      </c>
      <c r="E14" s="27">
        <f>E9-E13</f>
        <v>938.9887500000001</v>
      </c>
    </row>
    <row r="15" spans="1:5" x14ac:dyDescent="0.35">
      <c r="A15" s="25" t="s">
        <v>94</v>
      </c>
      <c r="B15" s="26">
        <f>IF(B5=0,"",B14/B5)</f>
        <v>0.210435371793043</v>
      </c>
      <c r="C15" s="26">
        <f>IF(C5=0,"",C14/C5)</f>
        <v>0.18084519832794843</v>
      </c>
      <c r="D15" s="26">
        <f>IF(D5=0,"",D14/D5)</f>
        <v>0.13525600028743892</v>
      </c>
      <c r="E15" s="26">
        <f>IF(E5=0,"",E14/E5)</f>
        <v>0.16506209678836994</v>
      </c>
    </row>
    <row r="16" spans="1:5" x14ac:dyDescent="0.35">
      <c r="A16" s="25" t="s">
        <v>95</v>
      </c>
      <c r="B16" s="19">
        <v>0.21530622439804181</v>
      </c>
      <c r="C16" s="19">
        <v>0.51096027595415594</v>
      </c>
      <c r="D16" s="19">
        <v>0.24837739433275291</v>
      </c>
      <c r="E16" s="19">
        <v>0.1511292647765497</v>
      </c>
    </row>
    <row r="17" spans="1:5" x14ac:dyDescent="0.35">
      <c r="A17" s="3" t="s">
        <v>96</v>
      </c>
      <c r="B17" s="27">
        <f>B14*(1-B16)</f>
        <v>810.32932890398638</v>
      </c>
      <c r="C17" s="27">
        <f>C14*(1-C16)</f>
        <v>484.50351382552577</v>
      </c>
      <c r="D17" s="27">
        <f>D14*(1-D16)</f>
        <v>565.88839195820788</v>
      </c>
      <c r="E17" s="27">
        <f>E14*(1-E16)</f>
        <v>797.08007057904865</v>
      </c>
    </row>
    <row r="18" spans="1:5" x14ac:dyDescent="0.35">
      <c r="A18" s="11" t="s">
        <v>97</v>
      </c>
      <c r="B18" s="18">
        <v>-335.2</v>
      </c>
      <c r="C18" s="18">
        <v>-396.3</v>
      </c>
      <c r="D18" s="18">
        <v>-374.2</v>
      </c>
      <c r="E18" s="18">
        <v>-376.2</v>
      </c>
    </row>
    <row r="19" spans="1:5" x14ac:dyDescent="0.35">
      <c r="A19" s="11" t="s">
        <v>98</v>
      </c>
      <c r="B19" s="18">
        <v>-491.4</v>
      </c>
      <c r="C19" s="18">
        <v>-173.5</v>
      </c>
      <c r="D19" s="18">
        <v>-44.2</v>
      </c>
      <c r="E19" s="18">
        <v>-37.5</v>
      </c>
    </row>
    <row r="20" spans="1:5" x14ac:dyDescent="0.35">
      <c r="A20" s="3" t="s">
        <v>99</v>
      </c>
      <c r="B20" s="27">
        <f>B17+B13+B18+B19</f>
        <v>170.72932890398658</v>
      </c>
      <c r="C20" s="27">
        <f>C17+C13+C18+C19</f>
        <v>122.30351382552584</v>
      </c>
      <c r="D20" s="27">
        <f>D17+D13+D18+D19</f>
        <v>374.08839195820804</v>
      </c>
      <c r="E20" s="27">
        <f>E17+E13+E18+E19</f>
        <v>633.7800705790487</v>
      </c>
    </row>
    <row r="21" spans="1:5" x14ac:dyDescent="0.35">
      <c r="A21" s="25" t="s">
        <v>100</v>
      </c>
      <c r="B21" s="26">
        <f>IF(B5=0,"",B20/B5)</f>
        <v>3.4790888860266662E-2</v>
      </c>
      <c r="C21" s="26">
        <f>IF(C5=0,"",C20/C5)</f>
        <v>2.2325085122305431E-2</v>
      </c>
      <c r="D21" s="26">
        <f>IF(D5=0,"",D20/D5)</f>
        <v>6.7204726925518835E-2</v>
      </c>
      <c r="E21" s="26">
        <f>IF(E5=0,"",E20/E5)</f>
        <v>0.1114103522033239</v>
      </c>
    </row>
    <row r="22" spans="1:5" x14ac:dyDescent="0.35">
      <c r="A22" s="11" t="s">
        <v>101</v>
      </c>
      <c r="B22" s="18">
        <v>782.4</v>
      </c>
      <c r="C22" s="18">
        <v>444.4</v>
      </c>
      <c r="D22" s="18">
        <v>468.5</v>
      </c>
      <c r="E22" s="18">
        <v>717.9</v>
      </c>
    </row>
    <row r="23" spans="1:5" x14ac:dyDescent="0.35">
      <c r="A23" s="11" t="s">
        <v>102</v>
      </c>
      <c r="B23" s="23">
        <v>1.51</v>
      </c>
      <c r="C23" s="23">
        <v>0.86</v>
      </c>
      <c r="D23" s="23">
        <v>0.91</v>
      </c>
      <c r="E23" s="23">
        <v>1.38</v>
      </c>
    </row>
    <row r="24" spans="1:5" x14ac:dyDescent="0.35">
      <c r="A24" s="11" t="s">
        <v>103</v>
      </c>
      <c r="B24" s="18">
        <v>170.9</v>
      </c>
      <c r="C24" s="18">
        <v>288.39999999999998</v>
      </c>
      <c r="D24" s="18">
        <v>276.7</v>
      </c>
      <c r="E24" s="18">
        <v>278</v>
      </c>
    </row>
    <row r="25" spans="1:5" x14ac:dyDescent="0.35">
      <c r="A25" s="11" t="s">
        <v>104</v>
      </c>
      <c r="B25" s="18">
        <v>2400.3000000000002</v>
      </c>
      <c r="C25" s="18">
        <v>2566.9</v>
      </c>
      <c r="D25" s="18">
        <v>2675.1</v>
      </c>
      <c r="E25" s="18">
        <v>3462.7</v>
      </c>
    </row>
    <row r="26" spans="1:5" x14ac:dyDescent="0.35">
      <c r="A26" s="11" t="s">
        <v>105</v>
      </c>
      <c r="B26" s="18">
        <v>462.9</v>
      </c>
      <c r="C26" s="18">
        <v>473.8</v>
      </c>
      <c r="D26" s="18">
        <v>517.79999999999995</v>
      </c>
      <c r="E26" s="18">
        <v>522.70000000000005</v>
      </c>
    </row>
    <row r="27" spans="1:5" x14ac:dyDescent="0.35">
      <c r="A27" s="11" t="s">
        <v>106</v>
      </c>
      <c r="B27" s="18">
        <v>1766.5</v>
      </c>
      <c r="C27" s="18">
        <v>1804.7</v>
      </c>
      <c r="D27" s="18">
        <v>1880.6</v>
      </c>
      <c r="E27" s="18">
        <v>2662</v>
      </c>
    </row>
    <row r="28" spans="1:5" x14ac:dyDescent="0.35">
      <c r="A28" s="11" t="s">
        <v>107</v>
      </c>
      <c r="B28" s="29">
        <f>IF(B9&lt;=0,"n.m.",B27/B9)</f>
        <v>1.4483431782134424</v>
      </c>
      <c r="C28" s="29">
        <f>IF(C9&lt;=0,"n.m.",C27/C9)</f>
        <v>1.5060197605113976</v>
      </c>
      <c r="D28" s="29">
        <f>IF(D9&lt;=0,"n.m.",D27/D9)</f>
        <v>1.9199807246431555</v>
      </c>
      <c r="E28" s="29">
        <f>IF(E9&lt;=0,"n.m.",E27/E9)</f>
        <v>2.2381244147466504</v>
      </c>
    </row>
    <row r="29" spans="1:5" x14ac:dyDescent="0.35">
      <c r="A29" s="11" t="s">
        <v>108</v>
      </c>
      <c r="B29" s="18">
        <v>31.769500000000001</v>
      </c>
      <c r="C29" s="18">
        <v>92.024249999999995</v>
      </c>
      <c r="D29" s="18">
        <v>121.18899999999999</v>
      </c>
      <c r="E29" s="18">
        <v>106.58875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2" customWidth="1"/>
  </cols>
  <sheetData>
    <row r="1" spans="1:9" ht="18" x14ac:dyDescent="0.4">
      <c r="A1" s="1" t="s">
        <v>109</v>
      </c>
    </row>
    <row r="2" spans="1:9" x14ac:dyDescent="0.35">
      <c r="A2" s="2" t="s">
        <v>110</v>
      </c>
    </row>
    <row r="4" spans="1:9" x14ac:dyDescent="0.35">
      <c r="A4" s="13" t="s">
        <v>80</v>
      </c>
      <c r="B4" s="14" t="s">
        <v>84</v>
      </c>
      <c r="C4" s="14" t="s">
        <v>65</v>
      </c>
      <c r="D4" s="14" t="s">
        <v>66</v>
      </c>
      <c r="E4" s="14" t="s">
        <v>67</v>
      </c>
      <c r="F4" s="14" t="s">
        <v>68</v>
      </c>
      <c r="G4" s="14" t="s">
        <v>69</v>
      </c>
      <c r="H4" s="14" t="s">
        <v>70</v>
      </c>
      <c r="I4" s="14" t="s">
        <v>111</v>
      </c>
    </row>
    <row r="5" spans="1:9" x14ac:dyDescent="0.35">
      <c r="A5" s="11" t="s">
        <v>71</v>
      </c>
      <c r="C5" s="30">
        <f>Inputs!B31</f>
        <v>0.1154</v>
      </c>
      <c r="D5" s="30">
        <f>Inputs!C31</f>
        <v>7.7399999999999997E-2</v>
      </c>
      <c r="E5" s="30">
        <f>Inputs!D31</f>
        <v>6.3049999999999995E-2</v>
      </c>
      <c r="F5" s="30">
        <f>Inputs!E31</f>
        <v>4.87E-2</v>
      </c>
      <c r="G5" s="30">
        <f>Inputs!F31</f>
        <v>3.4350000000000012E-2</v>
      </c>
      <c r="H5" s="30">
        <f>Inputs!G31</f>
        <v>0.02</v>
      </c>
      <c r="I5" s="30">
        <f>Inputs!$B$11</f>
        <v>0.02</v>
      </c>
    </row>
    <row r="6" spans="1:9" x14ac:dyDescent="0.35">
      <c r="A6" s="3" t="s">
        <v>85</v>
      </c>
      <c r="B6" s="31">
        <f>Historicals!E5</f>
        <v>5688.7</v>
      </c>
      <c r="C6" s="27">
        <f t="shared" ref="C6:I6" si="0">B6*(1+C5)</f>
        <v>6345.1759799999991</v>
      </c>
      <c r="D6" s="27">
        <f t="shared" si="0"/>
        <v>6836.292600851998</v>
      </c>
      <c r="E6" s="27">
        <f t="shared" si="0"/>
        <v>7267.320849335717</v>
      </c>
      <c r="F6" s="27">
        <f t="shared" si="0"/>
        <v>7621.2393746983662</v>
      </c>
      <c r="G6" s="27">
        <f t="shared" si="0"/>
        <v>7883.0289472192562</v>
      </c>
      <c r="H6" s="27">
        <f t="shared" si="0"/>
        <v>8040.6895261636419</v>
      </c>
      <c r="I6" s="27">
        <f t="shared" si="0"/>
        <v>8201.5033166869143</v>
      </c>
    </row>
    <row r="7" spans="1:9" x14ac:dyDescent="0.35">
      <c r="A7" s="25" t="s">
        <v>72</v>
      </c>
      <c r="B7" s="26">
        <f>B8/B6</f>
        <v>0.2090791832931953</v>
      </c>
      <c r="C7" s="30">
        <f>Inputs!B32</f>
        <v>0.20777620198107291</v>
      </c>
      <c r="D7" s="30">
        <f>Inputs!C32</f>
        <v>0.20647322066895049</v>
      </c>
      <c r="E7" s="30">
        <f>Inputs!D32</f>
        <v>0.20517023935682821</v>
      </c>
      <c r="F7" s="30">
        <f>Inputs!E32</f>
        <v>0.20386725804470579</v>
      </c>
      <c r="G7" s="30">
        <f>Inputs!F32</f>
        <v>0.2025642767325834</v>
      </c>
      <c r="H7" s="30">
        <f>Inputs!G32</f>
        <v>0.20126129542046101</v>
      </c>
      <c r="I7" s="26">
        <f>H7</f>
        <v>0.20126129542046101</v>
      </c>
    </row>
    <row r="8" spans="1:9" x14ac:dyDescent="0.35">
      <c r="A8" s="3" t="s">
        <v>89</v>
      </c>
      <c r="B8" s="31">
        <f>Historicals!E9</f>
        <v>1189.3887500000001</v>
      </c>
      <c r="C8" s="27">
        <f t="shared" ref="C8:I8" si="1">C6*C7</f>
        <v>1318.3765660259321</v>
      </c>
      <c r="D8" s="27">
        <f t="shared" si="1"/>
        <v>1411.511350733228</v>
      </c>
      <c r="E8" s="27">
        <f t="shared" si="1"/>
        <v>1491.0379581410771</v>
      </c>
      <c r="F8" s="27">
        <f t="shared" si="1"/>
        <v>1553.7211742221041</v>
      </c>
      <c r="G8" s="27">
        <f t="shared" si="1"/>
        <v>1596.8200571554869</v>
      </c>
      <c r="H8" s="27">
        <f t="shared" si="1"/>
        <v>1618.2795901094273</v>
      </c>
      <c r="I8" s="27">
        <f t="shared" si="1"/>
        <v>1650.6451819116157</v>
      </c>
    </row>
    <row r="9" spans="1:9" x14ac:dyDescent="0.35">
      <c r="A9" s="25" t="s">
        <v>73</v>
      </c>
      <c r="C9" s="30">
        <f>Inputs!B33</f>
        <v>4.0873530285875308E-2</v>
      </c>
      <c r="D9" s="30">
        <f>Inputs!C33</f>
        <v>4.0873530285875308E-2</v>
      </c>
      <c r="E9" s="30">
        <f>Inputs!D33</f>
        <v>4.0873530285875308E-2</v>
      </c>
      <c r="F9" s="30">
        <f>Inputs!E33</f>
        <v>4.0873530285875308E-2</v>
      </c>
      <c r="G9" s="30">
        <f>Inputs!F33</f>
        <v>4.0873530285875308E-2</v>
      </c>
      <c r="H9" s="30">
        <f>Inputs!G33</f>
        <v>4.0873530285875308E-2</v>
      </c>
      <c r="I9" s="26">
        <f>H9</f>
        <v>4.0873530285875308E-2</v>
      </c>
    </row>
    <row r="10" spans="1:9" x14ac:dyDescent="0.35">
      <c r="A10" s="11" t="s">
        <v>92</v>
      </c>
      <c r="B10" s="31">
        <f>Historicals!E13</f>
        <v>250.4</v>
      </c>
      <c r="C10" s="28">
        <f t="shared" ref="C10:I10" si="2">C6*C9</f>
        <v>259.34974258773849</v>
      </c>
      <c r="D10" s="28">
        <f t="shared" si="2"/>
        <v>279.4234126640294</v>
      </c>
      <c r="E10" s="28">
        <f t="shared" si="2"/>
        <v>297.0410588324965</v>
      </c>
      <c r="F10" s="28">
        <f t="shared" si="2"/>
        <v>311.50695839763904</v>
      </c>
      <c r="G10" s="28">
        <f t="shared" si="2"/>
        <v>322.20722241859801</v>
      </c>
      <c r="H10" s="28">
        <f t="shared" si="2"/>
        <v>328.65136686696997</v>
      </c>
      <c r="I10" s="28">
        <f t="shared" si="2"/>
        <v>335.22439420430936</v>
      </c>
    </row>
    <row r="11" spans="1:9" x14ac:dyDescent="0.35">
      <c r="A11" s="3" t="s">
        <v>93</v>
      </c>
      <c r="B11" s="31">
        <f>Historicals!E14</f>
        <v>938.9887500000001</v>
      </c>
      <c r="C11" s="27">
        <f t="shared" ref="C11:I11" si="3">C8-C10</f>
        <v>1059.0268234381936</v>
      </c>
      <c r="D11" s="27">
        <f t="shared" si="3"/>
        <v>1132.0879380691986</v>
      </c>
      <c r="E11" s="27">
        <f t="shared" si="3"/>
        <v>1193.9968993085806</v>
      </c>
      <c r="F11" s="27">
        <f t="shared" si="3"/>
        <v>1242.2142158244651</v>
      </c>
      <c r="G11" s="27">
        <f t="shared" si="3"/>
        <v>1274.612834736889</v>
      </c>
      <c r="H11" s="27">
        <f t="shared" si="3"/>
        <v>1289.6282232424574</v>
      </c>
      <c r="I11" s="27">
        <f t="shared" si="3"/>
        <v>1315.4207877073063</v>
      </c>
    </row>
    <row r="12" spans="1:9" x14ac:dyDescent="0.35">
      <c r="A12" s="25" t="s">
        <v>94</v>
      </c>
      <c r="C12" s="26">
        <f t="shared" ref="C12:I12" si="4">C11/C6</f>
        <v>0.1669026716951976</v>
      </c>
      <c r="D12" s="26">
        <f t="shared" si="4"/>
        <v>0.16559969038307518</v>
      </c>
      <c r="E12" s="26">
        <f t="shared" si="4"/>
        <v>0.1642967090709529</v>
      </c>
      <c r="F12" s="26">
        <f t="shared" si="4"/>
        <v>0.1629937277588305</v>
      </c>
      <c r="G12" s="26">
        <f t="shared" si="4"/>
        <v>0.16169074644670808</v>
      </c>
      <c r="H12" s="26">
        <f t="shared" si="4"/>
        <v>0.16038776513458569</v>
      </c>
      <c r="I12" s="26">
        <f t="shared" si="4"/>
        <v>0.16038776513458569</v>
      </c>
    </row>
    <row r="13" spans="1:9" x14ac:dyDescent="0.35">
      <c r="A13" s="11" t="s">
        <v>112</v>
      </c>
      <c r="C13" s="28">
        <f>-MAX(C11,0)*Inputs!$B$10</f>
        <v>-232.98590115640258</v>
      </c>
      <c r="D13" s="28">
        <f>-MAX(D11,0)*Inputs!$B$10</f>
        <v>-249.0593463752237</v>
      </c>
      <c r="E13" s="28">
        <f>-MAX(E11,0)*Inputs!$B$10</f>
        <v>-262.67931784788772</v>
      </c>
      <c r="F13" s="28">
        <f>-MAX(F11,0)*Inputs!$B$10</f>
        <v>-273.2871274813823</v>
      </c>
      <c r="G13" s="28">
        <f>-MAX(G11,0)*Inputs!$B$10</f>
        <v>-280.41482364211561</v>
      </c>
      <c r="H13" s="28">
        <f>-MAX(H11,0)*Inputs!$B$10</f>
        <v>-283.71820911334061</v>
      </c>
      <c r="I13" s="28">
        <f>-MAX(I11,0)*Inputs!$B$10</f>
        <v>-289.39257329560741</v>
      </c>
    </row>
    <row r="14" spans="1:9" x14ac:dyDescent="0.35">
      <c r="A14" s="3" t="s">
        <v>96</v>
      </c>
      <c r="B14" s="31">
        <f>Historicals!E17</f>
        <v>797.08007057904865</v>
      </c>
      <c r="C14" s="27">
        <f t="shared" ref="C14:I14" si="5">C11+C13</f>
        <v>826.04092228179093</v>
      </c>
      <c r="D14" s="27">
        <f t="shared" si="5"/>
        <v>883.02859169397493</v>
      </c>
      <c r="E14" s="27">
        <f t="shared" si="5"/>
        <v>931.31758146069296</v>
      </c>
      <c r="F14" s="27">
        <f t="shared" si="5"/>
        <v>968.9270883430828</v>
      </c>
      <c r="G14" s="27">
        <f t="shared" si="5"/>
        <v>994.19801109477339</v>
      </c>
      <c r="H14" s="27">
        <f t="shared" si="5"/>
        <v>1005.9100141291167</v>
      </c>
      <c r="I14" s="27">
        <f t="shared" si="5"/>
        <v>1026.0282144116989</v>
      </c>
    </row>
    <row r="15" spans="1:9" x14ac:dyDescent="0.35">
      <c r="A15" s="25" t="s">
        <v>74</v>
      </c>
      <c r="C15" s="30">
        <f>Inputs!B34</f>
        <v>6.8565279573521307E-2</v>
      </c>
      <c r="D15" s="30">
        <f>Inputs!C34</f>
        <v>6.3435665018850868E-2</v>
      </c>
      <c r="E15" s="30">
        <f>Inputs!D34</f>
        <v>5.8306050464180408E-2</v>
      </c>
      <c r="F15" s="30">
        <f>Inputs!E34</f>
        <v>5.3176435909509968E-2</v>
      </c>
      <c r="G15" s="30">
        <f>Inputs!F34</f>
        <v>4.8046821354839522E-2</v>
      </c>
      <c r="H15" s="30">
        <f>Inputs!G34</f>
        <v>4.2917206800169083E-2</v>
      </c>
      <c r="I15" s="26">
        <f>H15</f>
        <v>4.2917206800169083E-2</v>
      </c>
    </row>
    <row r="16" spans="1:9" x14ac:dyDescent="0.35">
      <c r="A16" s="11" t="s">
        <v>97</v>
      </c>
      <c r="B16" s="31">
        <f>Historicals!E18</f>
        <v>-376.2</v>
      </c>
      <c r="C16" s="28">
        <f t="shared" ref="C16:I16" si="6">-C6*C15</f>
        <v>-435.05876501189198</v>
      </c>
      <c r="D16" s="28">
        <f t="shared" si="6"/>
        <v>-433.66476739849611</v>
      </c>
      <c r="E16" s="28">
        <f t="shared" si="6"/>
        <v>-423.72877618075876</v>
      </c>
      <c r="F16" s="28">
        <f t="shared" si="6"/>
        <v>-405.27034715968148</v>
      </c>
      <c r="G16" s="28">
        <f t="shared" si="6"/>
        <v>-378.75448356207227</v>
      </c>
      <c r="H16" s="28">
        <f t="shared" si="6"/>
        <v>-345.0839352103186</v>
      </c>
      <c r="I16" s="28">
        <f t="shared" si="6"/>
        <v>-351.98561391452495</v>
      </c>
    </row>
    <row r="17" spans="1:9" x14ac:dyDescent="0.35">
      <c r="A17" s="25" t="s">
        <v>75</v>
      </c>
      <c r="C17" s="30">
        <f>Inputs!B35</f>
        <v>0.49520563523441158</v>
      </c>
      <c r="D17" s="30">
        <f>Inputs!C35</f>
        <v>0.49520563523441158</v>
      </c>
      <c r="E17" s="30">
        <f>Inputs!D35</f>
        <v>0.49520563523441158</v>
      </c>
      <c r="F17" s="30">
        <f>Inputs!E35</f>
        <v>0.49520563523441158</v>
      </c>
      <c r="G17" s="30">
        <f>Inputs!F35</f>
        <v>0.49520563523441158</v>
      </c>
      <c r="H17" s="30">
        <f>Inputs!G35</f>
        <v>0.49520563523441158</v>
      </c>
      <c r="I17" s="26">
        <f>H17</f>
        <v>0.49520563523441158</v>
      </c>
    </row>
    <row r="18" spans="1:9" x14ac:dyDescent="0.35">
      <c r="A18" s="11" t="s">
        <v>98</v>
      </c>
      <c r="B18" s="31">
        <f>Historicals!E19</f>
        <v>-37.5</v>
      </c>
      <c r="C18" s="28">
        <f t="shared" ref="C18:I18" si="7">-C17*(C6-B6)</f>
        <v>-325.09060469203251</v>
      </c>
      <c r="D18" s="28">
        <f t="shared" si="7"/>
        <v>-243.20371820319181</v>
      </c>
      <c r="E18" s="28">
        <f t="shared" si="7"/>
        <v>-213.44761759435582</v>
      </c>
      <c r="F18" s="28">
        <f t="shared" si="7"/>
        <v>-175.26244817343692</v>
      </c>
      <c r="G18" s="28">
        <f t="shared" si="7"/>
        <v>-129.6396715579524</v>
      </c>
      <c r="H18" s="28">
        <f t="shared" si="7"/>
        <v>-78.074407147579578</v>
      </c>
      <c r="I18" s="28">
        <f t="shared" si="7"/>
        <v>-79.63589529053074</v>
      </c>
    </row>
    <row r="19" spans="1:9" x14ac:dyDescent="0.35">
      <c r="A19" s="3" t="s">
        <v>99</v>
      </c>
      <c r="B19" s="31">
        <f>Historicals!E20</f>
        <v>633.7800705790487</v>
      </c>
      <c r="C19" s="27">
        <f t="shared" ref="C19:I19" si="8">C14+C10+C16+C18</f>
        <v>325.24129516560498</v>
      </c>
      <c r="D19" s="27">
        <f t="shared" si="8"/>
        <v>485.58351875631649</v>
      </c>
      <c r="E19" s="27">
        <f t="shared" si="8"/>
        <v>591.18224651807475</v>
      </c>
      <c r="F19" s="27">
        <f t="shared" si="8"/>
        <v>699.90125140760347</v>
      </c>
      <c r="G19" s="27">
        <f t="shared" si="8"/>
        <v>808.01107839334691</v>
      </c>
      <c r="H19" s="27">
        <f t="shared" si="8"/>
        <v>911.40303863818849</v>
      </c>
      <c r="I19" s="27">
        <f t="shared" si="8"/>
        <v>929.63109941095263</v>
      </c>
    </row>
    <row r="20" spans="1:9" x14ac:dyDescent="0.35">
      <c r="A20" s="25" t="s">
        <v>100</v>
      </c>
      <c r="C20" s="26">
        <f t="shared" ref="C20:I20" si="9">C19/C6</f>
        <v>5.1258041729774849E-2</v>
      </c>
      <c r="D20" s="26">
        <f t="shared" si="9"/>
        <v>7.1030242136768521E-2</v>
      </c>
      <c r="E20" s="26">
        <f t="shared" si="9"/>
        <v>8.1348031657651781E-2</v>
      </c>
      <c r="F20" s="26">
        <f t="shared" si="9"/>
        <v>9.1835621084307456E-2</v>
      </c>
      <c r="G20" s="26">
        <f t="shared" si="9"/>
        <v>0.10250007754676245</v>
      </c>
      <c r="H20" s="26">
        <f t="shared" si="9"/>
        <v>0.11334886587432201</v>
      </c>
      <c r="I20" s="26">
        <f t="shared" si="9"/>
        <v>0.11334886587432207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workbookViewId="0"/>
  </sheetViews>
  <sheetFormatPr defaultRowHeight="14.5" x14ac:dyDescent="0.35"/>
  <cols>
    <col min="1" max="1" width="34" customWidth="1"/>
    <col min="2" max="2" width="14" customWidth="1"/>
    <col min="3" max="3" width="40" customWidth="1"/>
  </cols>
  <sheetData>
    <row r="1" spans="1:3" ht="18" x14ac:dyDescent="0.4">
      <c r="A1" s="1" t="s">
        <v>113</v>
      </c>
    </row>
    <row r="2" spans="1:3" x14ac:dyDescent="0.35">
      <c r="A2" s="2" t="s">
        <v>114</v>
      </c>
    </row>
    <row r="4" spans="1:3" x14ac:dyDescent="0.35">
      <c r="A4" s="13" t="s">
        <v>115</v>
      </c>
      <c r="B4" s="14" t="s">
        <v>25</v>
      </c>
    </row>
    <row r="5" spans="1:3" x14ac:dyDescent="0.35">
      <c r="A5" s="11" t="s">
        <v>39</v>
      </c>
      <c r="B5" s="7">
        <f>Inputs!$B$12</f>
        <v>3.7999999999999999E-2</v>
      </c>
    </row>
    <row r="6" spans="1:3" x14ac:dyDescent="0.35">
      <c r="A6" s="11" t="s">
        <v>41</v>
      </c>
      <c r="B6" s="4">
        <f>Inputs!$B$14</f>
        <v>0.77177997828666922</v>
      </c>
      <c r="C6" s="2" t="s">
        <v>42</v>
      </c>
    </row>
    <row r="7" spans="1:3" x14ac:dyDescent="0.35">
      <c r="A7" s="11" t="s">
        <v>40</v>
      </c>
      <c r="B7" s="7">
        <f>Inputs!$B$13</f>
        <v>0.05</v>
      </c>
    </row>
    <row r="8" spans="1:3" x14ac:dyDescent="0.35">
      <c r="A8" s="11" t="s">
        <v>43</v>
      </c>
      <c r="B8" s="7">
        <f>Inputs!$B$15</f>
        <v>0</v>
      </c>
    </row>
    <row r="9" spans="1:3" x14ac:dyDescent="0.35">
      <c r="A9" s="3" t="s">
        <v>116</v>
      </c>
      <c r="B9" s="32">
        <f>B5+B6*B7+B8</f>
        <v>7.6588998914333462E-2</v>
      </c>
    </row>
    <row r="10" spans="1:3" x14ac:dyDescent="0.35">
      <c r="A10" s="11" t="s">
        <v>45</v>
      </c>
      <c r="B10" s="7">
        <f>Inputs!$B$16</f>
        <v>4.1821650677809817E-2</v>
      </c>
    </row>
    <row r="11" spans="1:3" x14ac:dyDescent="0.35">
      <c r="A11" s="11" t="s">
        <v>36</v>
      </c>
      <c r="B11" s="5">
        <f>Inputs!$B$10</f>
        <v>0.22</v>
      </c>
    </row>
    <row r="12" spans="1:3" x14ac:dyDescent="0.35">
      <c r="A12" s="11" t="s">
        <v>117</v>
      </c>
      <c r="B12" s="33">
        <f>B10*(1-B11)</f>
        <v>3.2620887528691661E-2</v>
      </c>
    </row>
    <row r="13" spans="1:3" x14ac:dyDescent="0.35">
      <c r="A13" s="11" t="s">
        <v>118</v>
      </c>
      <c r="B13" s="28">
        <f>(Inputs!$B$5*Inputs!$B$6)*Inputs!$B$7</f>
        <v>9869.4670750621954</v>
      </c>
    </row>
    <row r="14" spans="1:3" x14ac:dyDescent="0.35">
      <c r="A14" s="11" t="s">
        <v>119</v>
      </c>
      <c r="B14" s="31">
        <f>Inputs!$B$17</f>
        <v>2940</v>
      </c>
    </row>
    <row r="15" spans="1:3" x14ac:dyDescent="0.35">
      <c r="A15" s="11" t="s">
        <v>120</v>
      </c>
      <c r="B15" s="34">
        <f>B13/(B13+B14)</f>
        <v>0.77048225482200827</v>
      </c>
    </row>
    <row r="16" spans="1:3" x14ac:dyDescent="0.35">
      <c r="A16" s="11" t="s">
        <v>121</v>
      </c>
      <c r="B16" s="34">
        <f>B14/(B13+B14)</f>
        <v>0.22951774517799173</v>
      </c>
    </row>
    <row r="17" spans="1:2" x14ac:dyDescent="0.35">
      <c r="A17" s="3" t="s">
        <v>10</v>
      </c>
      <c r="B17" s="32">
        <f>B15*B9+B16*B12</f>
        <v>6.6497537129366166E-2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7" width="12" customWidth="1"/>
  </cols>
  <sheetData>
    <row r="1" spans="1:7" ht="18" x14ac:dyDescent="0.4">
      <c r="A1" s="1" t="s">
        <v>122</v>
      </c>
    </row>
    <row r="2" spans="1:7" x14ac:dyDescent="0.35">
      <c r="A2" s="2" t="s">
        <v>123</v>
      </c>
    </row>
    <row r="4" spans="1:7" x14ac:dyDescent="0.35">
      <c r="A4" s="13" t="s">
        <v>124</v>
      </c>
      <c r="B4" s="14" t="s">
        <v>65</v>
      </c>
      <c r="C4" s="14" t="s">
        <v>66</v>
      </c>
      <c r="D4" s="14" t="s">
        <v>67</v>
      </c>
      <c r="E4" s="14" t="s">
        <v>68</v>
      </c>
      <c r="F4" s="14" t="s">
        <v>69</v>
      </c>
      <c r="G4" s="14" t="s">
        <v>70</v>
      </c>
    </row>
    <row r="5" spans="1:7" x14ac:dyDescent="0.35">
      <c r="A5" s="3" t="s">
        <v>99</v>
      </c>
      <c r="B5" s="35">
        <f>Forecast!C19</f>
        <v>325.24129516560498</v>
      </c>
      <c r="C5" s="35">
        <f>Forecast!D19</f>
        <v>485.58351875631649</v>
      </c>
      <c r="D5" s="35">
        <f>Forecast!E19</f>
        <v>591.18224651807475</v>
      </c>
      <c r="E5" s="35">
        <f>Forecast!F19</f>
        <v>699.90125140760347</v>
      </c>
      <c r="F5" s="35">
        <f>Forecast!G19</f>
        <v>808.01107839334691</v>
      </c>
      <c r="G5" s="35">
        <f>Forecast!H19</f>
        <v>911.40303863818849</v>
      </c>
    </row>
    <row r="6" spans="1:7" x14ac:dyDescent="0.35">
      <c r="A6" s="11" t="s">
        <v>125</v>
      </c>
      <c r="B6" s="36">
        <f>1-0.5*Inputs!$B$18</f>
        <v>1</v>
      </c>
      <c r="C6" s="36">
        <f>2-0.5*Inputs!$B$18</f>
        <v>2</v>
      </c>
      <c r="D6" s="36">
        <f>3-0.5*Inputs!$B$18</f>
        <v>3</v>
      </c>
      <c r="E6" s="36">
        <f>4-0.5*Inputs!$B$18</f>
        <v>4</v>
      </c>
      <c r="F6" s="36">
        <f>5-0.5*Inputs!$B$18</f>
        <v>5</v>
      </c>
      <c r="G6" s="36">
        <f>6-0.5*Inputs!$B$18</f>
        <v>6</v>
      </c>
    </row>
    <row r="7" spans="1:7" x14ac:dyDescent="0.35">
      <c r="A7" s="11" t="s">
        <v>126</v>
      </c>
      <c r="B7" s="37">
        <f>1/(1+WACC!$B$17)^B6</f>
        <v>0.93764867258076001</v>
      </c>
      <c r="C7" s="37">
        <f>1/(1+WACC!$B$17)^C6</f>
        <v>0.87918503319246133</v>
      </c>
      <c r="D7" s="37">
        <f>1/(1+WACC!$B$17)^D6</f>
        <v>0.82436667932578289</v>
      </c>
      <c r="E7" s="37">
        <f>1/(1+WACC!$B$17)^E6</f>
        <v>0.77296632258962938</v>
      </c>
      <c r="F7" s="37">
        <f>1/(1+WACC!$B$17)^F6</f>
        <v>0.72477084632579758</v>
      </c>
      <c r="G7" s="37">
        <f>1/(1+WACC!$B$17)^G6</f>
        <v>0.67958042198261803</v>
      </c>
    </row>
    <row r="8" spans="1:7" x14ac:dyDescent="0.35">
      <c r="A8" s="3" t="s">
        <v>127</v>
      </c>
      <c r="B8" s="27">
        <f t="shared" ref="B8:G8" si="0">B5*B7</f>
        <v>304.96206868047665</v>
      </c>
      <c r="C8" s="27">
        <f t="shared" si="0"/>
        <v>426.91776205548427</v>
      </c>
      <c r="D8" s="27">
        <f t="shared" si="0"/>
        <v>487.35094543846168</v>
      </c>
      <c r="E8" s="27">
        <f t="shared" si="0"/>
        <v>541.00009647641491</v>
      </c>
      <c r="F8" s="27">
        <f t="shared" si="0"/>
        <v>585.62287312776641</v>
      </c>
      <c r="G8" s="27">
        <f t="shared" si="0"/>
        <v>619.37166159398043</v>
      </c>
    </row>
    <row r="10" spans="1:7" x14ac:dyDescent="0.35">
      <c r="A10" s="3" t="s">
        <v>128</v>
      </c>
      <c r="B10" s="27">
        <f>SUM(B8:G8)</f>
        <v>2965.2254073725844</v>
      </c>
    </row>
    <row r="11" spans="1:7" x14ac:dyDescent="0.35">
      <c r="A11" s="11" t="s">
        <v>11</v>
      </c>
      <c r="B11" s="7">
        <f>Inputs!$B$11</f>
        <v>0.02</v>
      </c>
    </row>
    <row r="12" spans="1:7" x14ac:dyDescent="0.35">
      <c r="A12" s="11" t="s">
        <v>10</v>
      </c>
      <c r="B12" s="7">
        <f>WACC!$B$17</f>
        <v>6.6497537129366166E-2</v>
      </c>
    </row>
    <row r="13" spans="1:7" x14ac:dyDescent="0.35">
      <c r="A13" s="11" t="s">
        <v>129</v>
      </c>
      <c r="B13" s="28">
        <f>IF(Inputs!$B$19=1,Forecast!$H$14*(1+B11)*(1-B11/Inputs!$B$20),$G$5*(1+B11))</f>
        <v>929.63109941095229</v>
      </c>
    </row>
    <row r="14" spans="1:7" x14ac:dyDescent="0.35">
      <c r="A14" s="3" t="s">
        <v>130</v>
      </c>
      <c r="B14" s="27">
        <f>B13/(B12-B11)</f>
        <v>19993.125589093426</v>
      </c>
    </row>
    <row r="15" spans="1:7" x14ac:dyDescent="0.35">
      <c r="A15" s="3" t="s">
        <v>131</v>
      </c>
      <c r="B15" s="27">
        <f>B14/(1+B12)^6</f>
        <v>13586.936724587591</v>
      </c>
    </row>
    <row r="16" spans="1:7" x14ac:dyDescent="0.35">
      <c r="A16" s="3" t="s">
        <v>132</v>
      </c>
      <c r="B16" s="27">
        <f>B10+B15</f>
        <v>16552.162131960176</v>
      </c>
    </row>
    <row r="17" spans="1:2" x14ac:dyDescent="0.35">
      <c r="A17" s="11" t="s">
        <v>133</v>
      </c>
      <c r="B17" s="31">
        <f>-Inputs!$B$8</f>
        <v>-2662</v>
      </c>
    </row>
    <row r="18" spans="1:2" x14ac:dyDescent="0.35">
      <c r="A18" s="11" t="s">
        <v>134</v>
      </c>
      <c r="B18" s="31">
        <f>-Inputs!$B$9</f>
        <v>-193.9</v>
      </c>
    </row>
    <row r="19" spans="1:2" x14ac:dyDescent="0.35">
      <c r="A19" s="3" t="s">
        <v>135</v>
      </c>
      <c r="B19" s="27">
        <f>B16+B17+B18</f>
        <v>13696.262131960177</v>
      </c>
    </row>
    <row r="20" spans="1:2" x14ac:dyDescent="0.35">
      <c r="A20" s="11" t="s">
        <v>30</v>
      </c>
      <c r="B20" s="38">
        <f>Inputs!$B$7</f>
        <v>527.29059600000005</v>
      </c>
    </row>
    <row r="21" spans="1:2" x14ac:dyDescent="0.35">
      <c r="A21" s="3" t="s">
        <v>136</v>
      </c>
      <c r="B21" s="39">
        <f>B19/B20/Inputs!$B$6</f>
        <v>280.32364155169148</v>
      </c>
    </row>
    <row r="22" spans="1:2" x14ac:dyDescent="0.35">
      <c r="A22" s="11" t="s">
        <v>137</v>
      </c>
      <c r="B22" s="4">
        <f>Inputs!$B$5</f>
        <v>202</v>
      </c>
    </row>
    <row r="23" spans="1:2" x14ac:dyDescent="0.35">
      <c r="A23" s="3" t="s">
        <v>138</v>
      </c>
      <c r="B23" s="40">
        <f>B21/B22-1</f>
        <v>0.38774079976084885</v>
      </c>
    </row>
    <row r="24" spans="1:2" x14ac:dyDescent="0.35">
      <c r="A24" s="11" t="s">
        <v>139</v>
      </c>
      <c r="B24" s="34">
        <f>B15/B16</f>
        <v>0.82085570551250808</v>
      </c>
    </row>
    <row r="25" spans="1:2" x14ac:dyDescent="0.35">
      <c r="A25" s="11" t="s">
        <v>140</v>
      </c>
      <c r="B25" s="29">
        <f>B14/Forecast!H8</f>
        <v>12.354555857521197</v>
      </c>
    </row>
    <row r="26" spans="1:2" x14ac:dyDescent="0.35">
      <c r="A26" s="11" t="s">
        <v>141</v>
      </c>
      <c r="B26" s="4">
        <f>Inputs!$B$24*B21+(1-Inputs!$B$24)*Inputs!$B$25</f>
        <v>280.32364155169148</v>
      </c>
    </row>
    <row r="27" spans="1:2" x14ac:dyDescent="0.35">
      <c r="A27" s="11" t="s">
        <v>116</v>
      </c>
      <c r="B27" s="7">
        <f>WACC!$B$9</f>
        <v>7.6588998914333462E-2</v>
      </c>
    </row>
    <row r="28" spans="1:2" x14ac:dyDescent="0.35">
      <c r="A28" s="11" t="s">
        <v>53</v>
      </c>
      <c r="B28" s="41">
        <f>IF(Inputs!$B$22&gt;0,Inputs!$B$21,0)</f>
        <v>6.0828411041253387</v>
      </c>
    </row>
    <row r="29" spans="1:2" x14ac:dyDescent="0.35">
      <c r="A29" s="11" t="s">
        <v>142</v>
      </c>
      <c r="B29" s="41">
        <f>IF(B26&lt;=0,0,B26*(1+B27)^(Inputs!$B$22/12)-B28)</f>
        <v>295.71050752603065</v>
      </c>
    </row>
    <row r="30" spans="1:2" x14ac:dyDescent="0.35">
      <c r="A30" s="3" t="s">
        <v>5</v>
      </c>
      <c r="B30" s="39">
        <f>IF(Inputs!$B$23&gt;0,MROUND(B29,Inputs!$B$23),B29)</f>
        <v>295.5</v>
      </c>
    </row>
    <row r="31" spans="1:2" x14ac:dyDescent="0.35">
      <c r="A31" s="3" t="s">
        <v>6</v>
      </c>
      <c r="B31" s="40">
        <f>B30/B22-1</f>
        <v>0.46287128712871284</v>
      </c>
    </row>
    <row r="32" spans="1:2" x14ac:dyDescent="0.35">
      <c r="A32" s="3" t="s">
        <v>143</v>
      </c>
      <c r="B32" s="40">
        <f>(B30+B28)/B22-1</f>
        <v>0.49298436190161055</v>
      </c>
    </row>
    <row r="33" spans="1:8" x14ac:dyDescent="0.35">
      <c r="A33" s="3" t="s">
        <v>8</v>
      </c>
      <c r="B33" s="3" t="str">
        <f>IF(B26&lt;=0,"NOT RATED",IF(B32&gt;=Inputs!$B$26,"BUY",IF(B32&lt;=Inputs!$B$27,"SELL","HOLD")))</f>
        <v>BUY</v>
      </c>
    </row>
    <row r="36" spans="1:8" x14ac:dyDescent="0.35">
      <c r="A36" s="9" t="s">
        <v>144</v>
      </c>
    </row>
    <row r="37" spans="1:8" x14ac:dyDescent="0.35">
      <c r="A37" s="14" t="s">
        <v>145</v>
      </c>
      <c r="B37" s="42">
        <f>WACC!$B$17+(-3)*0.005</f>
        <v>5.1497537129366167E-2</v>
      </c>
      <c r="C37" s="42">
        <f>WACC!$B$17+(-2)*0.005</f>
        <v>5.6497537129366164E-2</v>
      </c>
      <c r="D37" s="42">
        <f>WACC!$B$17+(-1)*0.005</f>
        <v>6.1497537129366169E-2</v>
      </c>
      <c r="E37" s="42">
        <f>WACC!$B$17+(0)*0.005</f>
        <v>6.6497537129366166E-2</v>
      </c>
      <c r="F37" s="42">
        <f>WACC!$B$17+(1)*0.005</f>
        <v>7.149753712936617E-2</v>
      </c>
      <c r="G37" s="42">
        <f>WACC!$B$17+(2)*0.005</f>
        <v>7.6497537129366161E-2</v>
      </c>
      <c r="H37" s="42">
        <f>WACC!$B$17+(3)*0.005</f>
        <v>8.1497537129366165E-2</v>
      </c>
    </row>
    <row r="38" spans="1:8" x14ac:dyDescent="0.35">
      <c r="A38" s="42">
        <f>Inputs!$B$11+(-3)*0.0025</f>
        <v>1.2500000000000001E-2</v>
      </c>
      <c r="B38" s="43">
        <f>IF(B$37&lt;=$A38,"n.m.",(NPV(B$37,$B$5:$G$5)*(1+B$37)^(0.5*Inputs!$B$18)+IF(Inputs!$B$19=1,Forecast!$H$14*(1+$A38)*(1-$A38/Inputs!$B$20),$G$5*(1+$A38))/(B$37-$A38)/(1+B$37)^6-Inputs!$B$8-Inputs!$B$9)/Inputs!$B$7/Inputs!$B$6)</f>
        <v>363.98475044861846</v>
      </c>
      <c r="C38" s="43">
        <f>IF(C$37&lt;=$A38,"n.m.",(NPV(C$37,$B$5:$G$5)*(1+C$37)^(0.5*Inputs!$B$18)+IF(Inputs!$B$19=1,Forecast!$H$14*(1+$A38)*(1-$A38/Inputs!$B$20),$G$5*(1+$A38))/(C$37-$A38)/(1+C$37)^6-Inputs!$B$8-Inputs!$B$9)/Inputs!$B$7/Inputs!$B$6)</f>
        <v>313.18020559532829</v>
      </c>
      <c r="D38" s="43">
        <f>IF(D$37&lt;=$A38,"n.m.",(NPV(D$37,$B$5:$G$5)*(1+D$37)^(0.5*Inputs!$B$18)+IF(Inputs!$B$19=1,Forecast!$H$14*(1+$A38)*(1-$A38/Inputs!$B$20),$G$5*(1+$A38))/(D$37-$A38)/(1+D$37)^6-Inputs!$B$8-Inputs!$B$9)/Inputs!$B$7/Inputs!$B$6)</f>
        <v>272.79669736517207</v>
      </c>
      <c r="E38" s="43">
        <f>IF(E$37&lt;=$A38,"n.m.",(NPV(E$37,$B$5:$G$5)*(1+E$37)^(0.5*Inputs!$B$18)+IF(Inputs!$B$19=1,Forecast!$H$14*(1+$A38)*(1-$A38/Inputs!$B$20),$G$5*(1+$A38))/(E$37-$A38)/(1+E$37)^6-Inputs!$B$8-Inputs!$B$9)/Inputs!$B$7/Inputs!$B$6)</f>
        <v>239.93807158696089</v>
      </c>
      <c r="F38" s="43">
        <f>IF(F$37&lt;=$A38,"n.m.",(NPV(F$37,$B$5:$G$5)*(1+F$37)^(0.5*Inputs!$B$18)+IF(Inputs!$B$19=1,Forecast!$H$14*(1+$A38)*(1-$A38/Inputs!$B$20),$G$5*(1+$A38))/(F$37-$A38)/(1+F$37)^6-Inputs!$B$8-Inputs!$B$9)/Inputs!$B$7/Inputs!$B$6)</f>
        <v>212.69000096945592</v>
      </c>
      <c r="G38" s="43">
        <f>IF(G$37&lt;=$A38,"n.m.",(NPV(G$37,$B$5:$G$5)*(1+G$37)^(0.5*Inputs!$B$18)+IF(Inputs!$B$19=1,Forecast!$H$14*(1+$A38)*(1-$A38/Inputs!$B$20),$G$5*(1+$A38))/(G$37-$A38)/(1+G$37)^6-Inputs!$B$8-Inputs!$B$9)/Inputs!$B$7/Inputs!$B$6)</f>
        <v>189.73644286161451</v>
      </c>
      <c r="H38" s="43">
        <f>IF(H$37&lt;=$A38,"n.m.",(NPV(H$37,$B$5:$G$5)*(1+H$37)^(0.5*Inputs!$B$18)+IF(Inputs!$B$19=1,Forecast!$H$14*(1+$A38)*(1-$A38/Inputs!$B$20),$G$5*(1+$A38))/(H$37-$A38)/(1+H$37)^6-Inputs!$B$8-Inputs!$B$9)/Inputs!$B$7/Inputs!$B$6)</f>
        <v>170.14286051468807</v>
      </c>
    </row>
    <row r="39" spans="1:8" x14ac:dyDescent="0.35">
      <c r="A39" s="42">
        <f>Inputs!$B$11+(-2)*0.0025</f>
        <v>1.4999999999999999E-2</v>
      </c>
      <c r="B39" s="43">
        <f>IF(B$37&lt;=$A39,"n.m.",(NPV(B$37,$B$5:$G$5)*(1+B$37)^(0.5*Inputs!$B$18)+IF(Inputs!$B$19=1,Forecast!$H$14*(1+$A39)*(1-$A39/Inputs!$B$20),$G$5*(1+$A39))/(B$37-$A39)/(1+B$37)^6-Inputs!$B$8-Inputs!$B$9)/Inputs!$B$7/Inputs!$B$6)</f>
        <v>389.47453176074958</v>
      </c>
      <c r="C39" s="43">
        <f>IF(C$37&lt;=$A39,"n.m.",(NPV(C$37,$B$5:$G$5)*(1+C$37)^(0.5*Inputs!$B$18)+IF(Inputs!$B$19=1,Forecast!$H$14*(1+$A39)*(1-$A39/Inputs!$B$20),$G$5*(1+$A39))/(C$37-$A39)/(1+C$37)^6-Inputs!$B$8-Inputs!$B$9)/Inputs!$B$7/Inputs!$B$6)</f>
        <v>332.5852666818937</v>
      </c>
      <c r="D39" s="43">
        <f>IF(D$37&lt;=$A39,"n.m.",(NPV(D$37,$B$5:$G$5)*(1+D$37)^(0.5*Inputs!$B$18)+IF(Inputs!$B$19=1,Forecast!$H$14*(1+$A39)*(1-$A39/Inputs!$B$20),$G$5*(1+$A39))/(D$37-$A39)/(1+D$37)^6-Inputs!$B$8-Inputs!$B$9)/Inputs!$B$7/Inputs!$B$6)</f>
        <v>287.98499128452994</v>
      </c>
      <c r="E39" s="43">
        <f>IF(E$37&lt;=$A39,"n.m.",(NPV(E$37,$B$5:$G$5)*(1+E$37)^(0.5*Inputs!$B$18)+IF(Inputs!$B$19=1,Forecast!$H$14*(1+$A39)*(1-$A39/Inputs!$B$20),$G$5*(1+$A39))/(E$37-$A39)/(1+E$37)^6-Inputs!$B$8-Inputs!$B$9)/Inputs!$B$7/Inputs!$B$6)</f>
        <v>252.09288936143952</v>
      </c>
      <c r="F39" s="43">
        <f>IF(F$37&lt;=$A39,"n.m.",(NPV(F$37,$B$5:$G$5)*(1+F$37)^(0.5*Inputs!$B$18)+IF(Inputs!$B$19=1,Forecast!$H$14*(1+$A39)*(1-$A39/Inputs!$B$20),$G$5*(1+$A39))/(F$37-$A39)/(1+F$37)^6-Inputs!$B$8-Inputs!$B$9)/Inputs!$B$7/Inputs!$B$6)</f>
        <v>222.59578519288101</v>
      </c>
      <c r="G39" s="43">
        <f>IF(G$37&lt;=$A39,"n.m.",(NPV(G$37,$B$5:$G$5)*(1+G$37)^(0.5*Inputs!$B$18)+IF(Inputs!$B$19=1,Forecast!$H$14*(1+$A39)*(1-$A39/Inputs!$B$20),$G$5*(1+$A39))/(G$37-$A39)/(1+G$37)^6-Inputs!$B$8-Inputs!$B$9)/Inputs!$B$7/Inputs!$B$6)</f>
        <v>197.9328205153017</v>
      </c>
      <c r="H39" s="43">
        <f>IF(H$37&lt;=$A39,"n.m.",(NPV(H$37,$B$5:$G$5)*(1+H$37)^(0.5*Inputs!$B$18)+IF(Inputs!$B$19=1,Forecast!$H$14*(1+$A39)*(1-$A39/Inputs!$B$20),$G$5*(1+$A39))/(H$37-$A39)/(1+H$37)^6-Inputs!$B$8-Inputs!$B$9)/Inputs!$B$7/Inputs!$B$6)</f>
        <v>177.01261671057898</v>
      </c>
    </row>
    <row r="40" spans="1:8" x14ac:dyDescent="0.35">
      <c r="A40" s="42">
        <f>Inputs!$B$11+(-1)*0.0025</f>
        <v>1.7500000000000002E-2</v>
      </c>
      <c r="B40" s="43">
        <f>IF(B$37&lt;=$A40,"n.m.",(NPV(B$37,$B$5:$G$5)*(1+B$37)^(0.5*Inputs!$B$18)+IF(Inputs!$B$19=1,Forecast!$H$14*(1+$A40)*(1-$A40/Inputs!$B$20),$G$5*(1+$A40))/(B$37-$A40)/(1+B$37)^6-Inputs!$B$8-Inputs!$B$9)/Inputs!$B$7/Inputs!$B$6)</f>
        <v>418.71308187562352</v>
      </c>
      <c r="C40" s="43">
        <f>IF(C$37&lt;=$A40,"n.m.",(NPV(C$37,$B$5:$G$5)*(1+C$37)^(0.5*Inputs!$B$18)+IF(Inputs!$B$19=1,Forecast!$H$14*(1+$A40)*(1-$A40/Inputs!$B$20),$G$5*(1+$A40))/(C$37-$A40)/(1+C$37)^6-Inputs!$B$8-Inputs!$B$9)/Inputs!$B$7/Inputs!$B$6)</f>
        <v>354.47831323048894</v>
      </c>
      <c r="D40" s="43">
        <f>IF(D$37&lt;=$A40,"n.m.",(NPV(D$37,$B$5:$G$5)*(1+D$37)^(0.5*Inputs!$B$18)+IF(Inputs!$B$19=1,Forecast!$H$14*(1+$A40)*(1-$A40/Inputs!$B$20),$G$5*(1+$A40))/(D$37-$A40)/(1+D$37)^6-Inputs!$B$8-Inputs!$B$9)/Inputs!$B$7/Inputs!$B$6)</f>
        <v>304.89932430861103</v>
      </c>
      <c r="E40" s="43">
        <f>IF(E$37&lt;=$A40,"n.m.",(NPV(E$37,$B$5:$G$5)*(1+E$37)^(0.5*Inputs!$B$18)+IF(Inputs!$B$19=1,Forecast!$H$14*(1+$A40)*(1-$A40/Inputs!$B$20),$G$5*(1+$A40))/(E$37-$A40)/(1+E$37)^6-Inputs!$B$8-Inputs!$B$9)/Inputs!$B$7/Inputs!$B$6)</f>
        <v>265.48805700721744</v>
      </c>
      <c r="F40" s="43">
        <f>IF(F$37&lt;=$A40,"n.m.",(NPV(F$37,$B$5:$G$5)*(1+F$37)^(0.5*Inputs!$B$18)+IF(Inputs!$B$19=1,Forecast!$H$14*(1+$A40)*(1-$A40/Inputs!$B$20),$G$5*(1+$A40))/(F$37-$A40)/(1+F$37)^6-Inputs!$B$8-Inputs!$B$9)/Inputs!$B$7/Inputs!$B$6)</f>
        <v>233.41881349353991</v>
      </c>
      <c r="G40" s="43">
        <f>IF(G$37&lt;=$A40,"n.m.",(NPV(G$37,$B$5:$G$5)*(1+G$37)^(0.5*Inputs!$B$18)+IF(Inputs!$B$19=1,Forecast!$H$14*(1+$A40)*(1-$A40/Inputs!$B$20),$G$5*(1+$A40))/(G$37-$A40)/(1+G$37)^6-Inputs!$B$8-Inputs!$B$9)/Inputs!$B$7/Inputs!$B$6)</f>
        <v>206.82383544136479</v>
      </c>
      <c r="H40" s="43">
        <f>IF(H$37&lt;=$A40,"n.m.",(NPV(H$37,$B$5:$G$5)*(1+H$37)^(0.5*Inputs!$B$18)+IF(Inputs!$B$19=1,Forecast!$H$14*(1+$A40)*(1-$A40/Inputs!$B$20),$G$5*(1+$A40))/(H$37-$A40)/(1+H$37)^6-Inputs!$B$8-Inputs!$B$9)/Inputs!$B$7/Inputs!$B$6)</f>
        <v>184.4190932635365</v>
      </c>
    </row>
    <row r="41" spans="1:8" x14ac:dyDescent="0.35">
      <c r="A41" s="42">
        <f>Inputs!$B$11+(0)*0.0025</f>
        <v>0.02</v>
      </c>
      <c r="B41" s="43">
        <f>IF(B$37&lt;=$A41,"n.m.",(NPV(B$37,$B$5:$G$5)*(1+B$37)^(0.5*Inputs!$B$18)+IF(Inputs!$B$19=1,Forecast!$H$14*(1+$A41)*(1-$A41/Inputs!$B$20),$G$5*(1+$A41))/(B$37-$A41)/(1+B$37)^6-Inputs!$B$8-Inputs!$B$9)/Inputs!$B$7/Inputs!$B$6)</f>
        <v>452.59303458568843</v>
      </c>
      <c r="C41" s="43">
        <f>IF(C$37&lt;=$A41,"n.m.",(NPV(C$37,$B$5:$G$5)*(1+C$37)^(0.5*Inputs!$B$18)+IF(Inputs!$B$19=1,Forecast!$H$14*(1+$A41)*(1-$A41/Inputs!$B$20),$G$5*(1+$A41))/(C$37-$A41)/(1+C$37)^6-Inputs!$B$8-Inputs!$B$9)/Inputs!$B$7/Inputs!$B$6)</f>
        <v>379.3706096286005</v>
      </c>
      <c r="D41" s="43">
        <f>IF(D$37&lt;=$A41,"n.m.",(NPV(D$37,$B$5:$G$5)*(1+D$37)^(0.5*Inputs!$B$18)+IF(Inputs!$B$19=1,Forecast!$H$14*(1+$A41)*(1-$A41/Inputs!$B$20),$G$5*(1+$A41))/(D$37-$A41)/(1+D$37)^6-Inputs!$B$8-Inputs!$B$9)/Inputs!$B$7/Inputs!$B$6)</f>
        <v>323.85164972864453</v>
      </c>
      <c r="E41" s="44">
        <f>IF(E$37&lt;=$A41,"n.m.",(NPV(E$37,$B$5:$G$5)*(1+E$37)^(0.5*Inputs!$B$18)+IF(Inputs!$B$19=1,Forecast!$H$14*(1+$A41)*(1-$A41/Inputs!$B$20),$G$5*(1+$A41))/(E$37-$A41)/(1+E$37)^6-Inputs!$B$8-Inputs!$B$9)/Inputs!$B$7/Inputs!$B$6)</f>
        <v>280.32364155169148</v>
      </c>
      <c r="F41" s="43">
        <f>IF(F$37&lt;=$A41,"n.m.",(NPV(F$37,$B$5:$G$5)*(1+F$37)^(0.5*Inputs!$B$18)+IF(Inputs!$B$19=1,Forecast!$H$14*(1+$A41)*(1-$A41/Inputs!$B$20),$G$5*(1+$A41))/(F$37-$A41)/(1+F$37)^6-Inputs!$B$8-Inputs!$B$9)/Inputs!$B$7/Inputs!$B$6)</f>
        <v>245.2926714944106</v>
      </c>
      <c r="G41" s="43">
        <f>IF(G$37&lt;=$A41,"n.m.",(NPV(G$37,$B$5:$G$5)*(1+G$37)^(0.5*Inputs!$B$18)+IF(Inputs!$B$19=1,Forecast!$H$14*(1+$A41)*(1-$A41/Inputs!$B$20),$G$5*(1+$A41))/(G$37-$A41)/(1+G$37)^6-Inputs!$B$8-Inputs!$B$9)/Inputs!$B$7/Inputs!$B$6)</f>
        <v>216.50170014688857</v>
      </c>
      <c r="H41" s="43">
        <f>IF(H$37&lt;=$A41,"n.m.",(NPV(H$37,$B$5:$G$5)*(1+H$37)^(0.5*Inputs!$B$18)+IF(Inputs!$B$19=1,Forecast!$H$14*(1+$A41)*(1-$A41/Inputs!$B$20),$G$5*(1+$A41))/(H$37-$A41)/(1+H$37)^6-Inputs!$B$8-Inputs!$B$9)/Inputs!$B$7/Inputs!$B$6)</f>
        <v>192.42774649695005</v>
      </c>
    </row>
    <row r="42" spans="1:8" x14ac:dyDescent="0.35">
      <c r="A42" s="42">
        <f>Inputs!$B$11+(1)*0.0025</f>
        <v>2.2499999999999999E-2</v>
      </c>
      <c r="B42" s="43">
        <f>IF(B$37&lt;=$A42,"n.m.",(NPV(B$37,$B$5:$G$5)*(1+B$37)^(0.5*Inputs!$B$18)+IF(Inputs!$B$19=1,Forecast!$H$14*(1+$A42)*(1-$A42/Inputs!$B$20),$G$5*(1+$A42))/(B$37-$A42)/(1+B$37)^6-Inputs!$B$8-Inputs!$B$9)/Inputs!$B$7/Inputs!$B$6)</f>
        <v>492.31485458243299</v>
      </c>
      <c r="C42" s="43">
        <f>IF(C$37&lt;=$A42,"n.m.",(NPV(C$37,$B$5:$G$5)*(1+C$37)^(0.5*Inputs!$B$18)+IF(Inputs!$B$19=1,Forecast!$H$14*(1+$A42)*(1-$A42/Inputs!$B$20),$G$5*(1+$A42))/(C$37-$A42)/(1+C$37)^6-Inputs!$B$8-Inputs!$B$9)/Inputs!$B$7/Inputs!$B$6)</f>
        <v>407.92380303572077</v>
      </c>
      <c r="D42" s="43">
        <f>IF(D$37&lt;=$A42,"n.m.",(NPV(D$37,$B$5:$G$5)*(1+D$37)^(0.5*Inputs!$B$18)+IF(Inputs!$B$19=1,Forecast!$H$14*(1+$A42)*(1-$A42/Inputs!$B$20),$G$5*(1+$A42))/(D$37-$A42)/(1+D$37)^6-Inputs!$B$8-Inputs!$B$9)/Inputs!$B$7/Inputs!$B$6)</f>
        <v>345.23391391085715</v>
      </c>
      <c r="E42" s="43">
        <f>IF(E$37&lt;=$A42,"n.m.",(NPV(E$37,$B$5:$G$5)*(1+E$37)^(0.5*Inputs!$B$18)+IF(Inputs!$B$19=1,Forecast!$H$14*(1+$A42)*(1-$A42/Inputs!$B$20),$G$5*(1+$A42))/(E$37-$A42)/(1+E$37)^6-Inputs!$B$8-Inputs!$B$9)/Inputs!$B$7/Inputs!$B$6)</f>
        <v>296.84518234649516</v>
      </c>
      <c r="F42" s="43">
        <f>IF(F$37&lt;=$A42,"n.m.",(NPV(F$37,$B$5:$G$5)*(1+F$37)^(0.5*Inputs!$B$18)+IF(Inputs!$B$19=1,Forecast!$H$14*(1+$A42)*(1-$A42/Inputs!$B$20),$G$5*(1+$A42))/(F$37-$A42)/(1+F$37)^6-Inputs!$B$8-Inputs!$B$9)/Inputs!$B$7/Inputs!$B$6)</f>
        <v>258.37820856085551</v>
      </c>
      <c r="G42" s="43">
        <f>IF(G$37&lt;=$A42,"n.m.",(NPV(G$37,$B$5:$G$5)*(1+G$37)^(0.5*Inputs!$B$18)+IF(Inputs!$B$19=1,Forecast!$H$14*(1+$A42)*(1-$A42/Inputs!$B$20),$G$5*(1+$A42))/(G$37-$A42)/(1+G$37)^6-Inputs!$B$8-Inputs!$B$9)/Inputs!$B$7/Inputs!$B$6)</f>
        <v>227.07570430802653</v>
      </c>
      <c r="H42" s="43">
        <f>IF(H$37&lt;=$A42,"n.m.",(NPV(H$37,$B$5:$G$5)*(1+H$37)^(0.5*Inputs!$B$18)+IF(Inputs!$B$19=1,Forecast!$H$14*(1+$A42)*(1-$A42/Inputs!$B$20),$G$5*(1+$A42))/(H$37-$A42)/(1+H$37)^6-Inputs!$B$8-Inputs!$B$9)/Inputs!$B$7/Inputs!$B$6)</f>
        <v>201.11512748944381</v>
      </c>
    </row>
    <row r="43" spans="1:8" x14ac:dyDescent="0.35">
      <c r="A43" s="42">
        <f>Inputs!$B$11+(2)*0.0025</f>
        <v>2.5000000000000001E-2</v>
      </c>
      <c r="B43" s="43">
        <f>IF(B$37&lt;=$A43,"n.m.",(NPV(B$37,$B$5:$G$5)*(1+B$37)^(0.5*Inputs!$B$18)+IF(Inputs!$B$19=1,Forecast!$H$14*(1+$A43)*(1-$A43/Inputs!$B$20),$G$5*(1+$A43))/(B$37-$A43)/(1+B$37)^6-Inputs!$B$8-Inputs!$B$9)/Inputs!$B$7/Inputs!$B$6)</f>
        <v>539.53205420687948</v>
      </c>
      <c r="C43" s="43">
        <f>IF(C$37&lt;=$A43,"n.m.",(NPV(C$37,$B$5:$G$5)*(1+C$37)^(0.5*Inputs!$B$18)+IF(Inputs!$B$19=1,Forecast!$H$14*(1+$A43)*(1-$A43/Inputs!$B$20),$G$5*(1+$A43))/(C$37-$A43)/(1+C$37)^6-Inputs!$B$8-Inputs!$B$9)/Inputs!$B$7/Inputs!$B$6)</f>
        <v>441.00960375271541</v>
      </c>
      <c r="D43" s="43">
        <f>IF(D$37&lt;=$A43,"n.m.",(NPV(D$37,$B$5:$G$5)*(1+D$37)^(0.5*Inputs!$B$18)+IF(Inputs!$B$19=1,Forecast!$H$14*(1+$A43)*(1-$A43/Inputs!$B$20),$G$5*(1+$A43))/(D$37-$A43)/(1+D$37)^6-Inputs!$B$8-Inputs!$B$9)/Inputs!$B$7/Inputs!$B$6)</f>
        <v>369.54545303379018</v>
      </c>
      <c r="E43" s="43">
        <f>IF(E$37&lt;=$A43,"n.m.",(NPV(E$37,$B$5:$G$5)*(1+E$37)^(0.5*Inputs!$B$18)+IF(Inputs!$B$19=1,Forecast!$H$14*(1+$A43)*(1-$A43/Inputs!$B$20),$G$5*(1+$A43))/(E$37-$A43)/(1+E$37)^6-Inputs!$B$8-Inputs!$B$9)/Inputs!$B$7/Inputs!$B$6)</f>
        <v>315.35738836358649</v>
      </c>
      <c r="F43" s="43">
        <f>IF(F$37&lt;=$A43,"n.m.",(NPV(F$37,$B$5:$G$5)*(1+F$37)^(0.5*Inputs!$B$18)+IF(Inputs!$B$19=1,Forecast!$H$14*(1+$A43)*(1-$A43/Inputs!$B$20),$G$5*(1+$A43))/(F$37-$A43)/(1+F$37)^6-Inputs!$B$8-Inputs!$B$9)/Inputs!$B$7/Inputs!$B$6)</f>
        <v>272.87086715182744</v>
      </c>
      <c r="G43" s="43">
        <f>IF(G$37&lt;=$A43,"n.m.",(NPV(G$37,$B$5:$G$5)*(1+G$37)^(0.5*Inputs!$B$18)+IF(Inputs!$B$19=1,Forecast!$H$14*(1+$A43)*(1-$A43/Inputs!$B$20),$G$5*(1+$A43))/(G$37-$A43)/(1+G$37)^6-Inputs!$B$8-Inputs!$B$9)/Inputs!$B$7/Inputs!$B$6)</f>
        <v>238.67635991218162</v>
      </c>
      <c r="H43" s="43">
        <f>IF(H$37&lt;=$A43,"n.m.",(NPV(H$37,$B$5:$G$5)*(1+H$37)^(0.5*Inputs!$B$18)+IF(Inputs!$B$19=1,Forecast!$H$14*(1+$A43)*(1-$A43/Inputs!$B$20),$G$5*(1+$A43))/(H$37-$A43)/(1+H$37)^6-Inputs!$B$8-Inputs!$B$9)/Inputs!$B$7/Inputs!$B$6)</f>
        <v>210.57133677374452</v>
      </c>
    </row>
    <row r="44" spans="1:8" x14ac:dyDescent="0.35">
      <c r="A44" s="42">
        <f>Inputs!$B$11+(3)*0.0025</f>
        <v>2.75E-2</v>
      </c>
      <c r="B44" s="43">
        <f>IF(B$37&lt;=$A44,"n.m.",(NPV(B$37,$B$5:$G$5)*(1+B$37)^(0.5*Inputs!$B$18)+IF(Inputs!$B$19=1,Forecast!$H$14*(1+$A44)*(1-$A44/Inputs!$B$20),$G$5*(1+$A44))/(B$37-$A44)/(1+B$37)^6-Inputs!$B$8-Inputs!$B$9)/Inputs!$B$7/Inputs!$B$6)</f>
        <v>596.58717998389477</v>
      </c>
      <c r="C44" s="43">
        <f>IF(C$37&lt;=$A44,"n.m.",(NPV(C$37,$B$5:$G$5)*(1+C$37)^(0.5*Inputs!$B$18)+IF(Inputs!$B$19=1,Forecast!$H$14*(1+$A44)*(1-$A44/Inputs!$B$20),$G$5*(1+$A44))/(C$37-$A44)/(1+C$37)^6-Inputs!$B$8-Inputs!$B$9)/Inputs!$B$7/Inputs!$B$6)</f>
        <v>479.80033736959558</v>
      </c>
      <c r="D44" s="43">
        <f>IF(D$37&lt;=$A44,"n.m.",(NPV(D$37,$B$5:$G$5)*(1+D$37)^(0.5*Inputs!$B$18)+IF(Inputs!$B$19=1,Forecast!$H$14*(1+$A44)*(1-$A44/Inputs!$B$20),$G$5*(1+$A44))/(D$37-$A44)/(1+D$37)^6-Inputs!$B$8-Inputs!$B$9)/Inputs!$B$7/Inputs!$B$6)</f>
        <v>397.43247749709116</v>
      </c>
      <c r="E44" s="43">
        <f>IF(E$37&lt;=$A44,"n.m.",(NPV(E$37,$B$5:$G$5)*(1+E$37)^(0.5*Inputs!$B$18)+IF(Inputs!$B$19=1,Forecast!$H$14*(1+$A44)*(1-$A44/Inputs!$B$20),$G$5*(1+$A44))/(E$37-$A44)/(1+E$37)^6-Inputs!$B$8-Inputs!$B$9)/Inputs!$B$7/Inputs!$B$6)</f>
        <v>336.24310401484797</v>
      </c>
      <c r="F44" s="43">
        <f>IF(F$37&lt;=$A44,"n.m.",(NPV(F$37,$B$5:$G$5)*(1+F$37)^(0.5*Inputs!$B$18)+IF(Inputs!$B$19=1,Forecast!$H$14*(1+$A44)*(1-$A44/Inputs!$B$20),$G$5*(1+$A44))/(F$37-$A44)/(1+F$37)^6-Inputs!$B$8-Inputs!$B$9)/Inputs!$B$7/Inputs!$B$6)</f>
        <v>289.01051095339869</v>
      </c>
      <c r="G44" s="43">
        <f>IF(G$37&lt;=$A44,"n.m.",(NPV(G$37,$B$5:$G$5)*(1+G$37)^(0.5*Inputs!$B$18)+IF(Inputs!$B$19=1,Forecast!$H$14*(1+$A44)*(1-$A44/Inputs!$B$20),$G$5*(1+$A44))/(G$37-$A44)/(1+G$37)^6-Inputs!$B$8-Inputs!$B$9)/Inputs!$B$7/Inputs!$B$6)</f>
        <v>251.46081538504504</v>
      </c>
      <c r="H44" s="43">
        <f>IF(H$37&lt;=$A44,"n.m.",(NPV(H$37,$B$5:$G$5)*(1+H$37)^(0.5*Inputs!$B$18)+IF(Inputs!$B$19=1,Forecast!$H$14*(1+$A44)*(1-$A44/Inputs!$B$20),$G$5*(1+$A44))/(H$37-$A44)/(1+H$37)^6-Inputs!$B$8-Inputs!$B$9)/Inputs!$B$7/Inputs!$B$6)</f>
        <v>220.90316092744629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0" customWidth="1"/>
    <col min="2" max="10" width="13" customWidth="1"/>
  </cols>
  <sheetData>
    <row r="1" spans="1:10" ht="18" x14ac:dyDescent="0.4">
      <c r="A1" s="1" t="s">
        <v>146</v>
      </c>
    </row>
    <row r="2" spans="1:10" x14ac:dyDescent="0.35">
      <c r="A2" s="2" t="s">
        <v>147</v>
      </c>
    </row>
    <row r="4" spans="1:10" x14ac:dyDescent="0.35">
      <c r="A4" s="13" t="s">
        <v>148</v>
      </c>
      <c r="B4" s="14" t="s">
        <v>149</v>
      </c>
      <c r="C4" s="14" t="s">
        <v>150</v>
      </c>
      <c r="D4" s="14" t="s">
        <v>151</v>
      </c>
      <c r="E4" s="14" t="s">
        <v>152</v>
      </c>
      <c r="F4" s="14" t="s">
        <v>153</v>
      </c>
      <c r="G4" s="14" t="s">
        <v>10</v>
      </c>
      <c r="H4" s="14" t="s">
        <v>11</v>
      </c>
      <c r="I4" s="14" t="s">
        <v>154</v>
      </c>
      <c r="J4" s="14" t="s">
        <v>155</v>
      </c>
    </row>
    <row r="5" spans="1:10" x14ac:dyDescent="0.35">
      <c r="A5" s="3" t="s">
        <v>156</v>
      </c>
      <c r="B5" s="19">
        <v>0.25</v>
      </c>
      <c r="C5" s="19">
        <v>-0.02</v>
      </c>
      <c r="D5" s="19">
        <v>-1.4999999999999999E-2</v>
      </c>
      <c r="E5" s="21">
        <v>5.0000000000000001E-3</v>
      </c>
      <c r="F5" s="21">
        <v>-2.5000000000000001E-3</v>
      </c>
      <c r="G5" s="33">
        <f>WACC!$B$17+E5</f>
        <v>7.149753712936617E-2</v>
      </c>
      <c r="H5" s="33">
        <f>Inputs!$B$11+F5</f>
        <v>1.7500000000000002E-2</v>
      </c>
      <c r="I5" s="45">
        <f>B25</f>
        <v>198.73694594405987</v>
      </c>
      <c r="J5" s="34">
        <f>I5/Inputs!$B$5-1</f>
        <v>-1.6153732950198618E-2</v>
      </c>
    </row>
    <row r="6" spans="1:10" x14ac:dyDescent="0.35">
      <c r="A6" s="3" t="s">
        <v>157</v>
      </c>
      <c r="B6" s="19">
        <v>0.5</v>
      </c>
      <c r="C6" s="19">
        <v>0</v>
      </c>
      <c r="D6" s="19">
        <v>0</v>
      </c>
      <c r="E6" s="21">
        <v>0</v>
      </c>
      <c r="F6" s="21">
        <v>0</v>
      </c>
      <c r="G6" s="33">
        <f>WACC!$B$17+E6</f>
        <v>6.6497537129366166E-2</v>
      </c>
      <c r="H6" s="33">
        <f>Inputs!$B$11+F6</f>
        <v>0.02</v>
      </c>
      <c r="I6" s="45">
        <f>B40</f>
        <v>280.32364155169148</v>
      </c>
      <c r="J6" s="34">
        <f>I6/Inputs!$B$5-1</f>
        <v>0.38774079976084885</v>
      </c>
    </row>
    <row r="7" spans="1:10" x14ac:dyDescent="0.35">
      <c r="A7" s="3" t="s">
        <v>158</v>
      </c>
      <c r="B7" s="19">
        <v>0.25</v>
      </c>
      <c r="C7" s="19">
        <v>0.02</v>
      </c>
      <c r="D7" s="19">
        <v>1.4999999999999999E-2</v>
      </c>
      <c r="E7" s="21">
        <v>-5.0000000000000001E-3</v>
      </c>
      <c r="F7" s="21">
        <v>2.5000000000000001E-3</v>
      </c>
      <c r="G7" s="33">
        <f>WACC!$B$17+E7</f>
        <v>6.1497537129366169E-2</v>
      </c>
      <c r="H7" s="33">
        <f>Inputs!$B$11+F7</f>
        <v>2.2499999999999999E-2</v>
      </c>
      <c r="I7" s="45">
        <f>B55</f>
        <v>400.78687103866349</v>
      </c>
      <c r="J7" s="34">
        <f>I7/Inputs!$B$5-1</f>
        <v>0.98409342098348263</v>
      </c>
    </row>
    <row r="8" spans="1:10" x14ac:dyDescent="0.35">
      <c r="A8" s="3" t="s">
        <v>159</v>
      </c>
      <c r="B8" s="40">
        <f>SUM(B5:B7)</f>
        <v>1</v>
      </c>
      <c r="I8" s="39">
        <f>IFERROR(SUMPRODUCT(B5:B7,I5:I7)/B8,"")</f>
        <v>290.04277502152661</v>
      </c>
      <c r="J8" s="40">
        <f>IFERROR(I8/Inputs!$B$5-1,"")</f>
        <v>0.43585532188874554</v>
      </c>
    </row>
    <row r="12" spans="1:10" x14ac:dyDescent="0.35">
      <c r="A12" s="9" t="s">
        <v>160</v>
      </c>
      <c r="B12" s="46" t="str">
        <f>Forecast!B4</f>
        <v>2025A</v>
      </c>
      <c r="C12" s="14" t="s">
        <v>65</v>
      </c>
      <c r="D12" s="14" t="s">
        <v>66</v>
      </c>
      <c r="E12" s="14" t="s">
        <v>67</v>
      </c>
      <c r="F12" s="14" t="s">
        <v>68</v>
      </c>
      <c r="G12" s="14" t="s">
        <v>69</v>
      </c>
      <c r="H12" s="14" t="s">
        <v>70</v>
      </c>
    </row>
    <row r="13" spans="1:10" x14ac:dyDescent="0.35">
      <c r="A13" s="25" t="s">
        <v>71</v>
      </c>
      <c r="C13" s="26">
        <f>Inputs!B31+$C$5</f>
        <v>9.5399999999999999E-2</v>
      </c>
      <c r="D13" s="26">
        <f>Inputs!C31+$C$5</f>
        <v>5.7399999999999993E-2</v>
      </c>
      <c r="E13" s="26">
        <f>Inputs!D31+$C$5</f>
        <v>4.3049999999999991E-2</v>
      </c>
      <c r="F13" s="26">
        <f>Inputs!E31+$C$5</f>
        <v>2.87E-2</v>
      </c>
      <c r="G13" s="26">
        <f>Inputs!F31+$C$5</f>
        <v>1.4350000000000012E-2</v>
      </c>
      <c r="H13" s="26">
        <f>Inputs!G31+$C$5</f>
        <v>0</v>
      </c>
    </row>
    <row r="14" spans="1:10" x14ac:dyDescent="0.35">
      <c r="A14" s="3" t="s">
        <v>85</v>
      </c>
      <c r="B14" s="31">
        <f>Forecast!B6</f>
        <v>5688.7</v>
      </c>
      <c r="C14" s="27">
        <f t="shared" ref="C14:H14" si="0">B14*(1+C13)</f>
        <v>6231.4019799999996</v>
      </c>
      <c r="D14" s="27">
        <f t="shared" si="0"/>
        <v>6589.084453651999</v>
      </c>
      <c r="E14" s="27">
        <f t="shared" si="0"/>
        <v>6872.7445393817179</v>
      </c>
      <c r="F14" s="27">
        <f t="shared" si="0"/>
        <v>7069.9923076619725</v>
      </c>
      <c r="G14" s="27">
        <f t="shared" si="0"/>
        <v>7171.4466972769224</v>
      </c>
      <c r="H14" s="27">
        <f t="shared" si="0"/>
        <v>7171.4466972769224</v>
      </c>
    </row>
    <row r="15" spans="1:10" x14ac:dyDescent="0.35">
      <c r="A15" s="25" t="s">
        <v>72</v>
      </c>
      <c r="C15" s="26">
        <f>Inputs!B32+$D$5</f>
        <v>0.19277620198107293</v>
      </c>
      <c r="D15" s="26">
        <f>Inputs!C32+$D$5</f>
        <v>0.19147322066895051</v>
      </c>
      <c r="E15" s="26">
        <f>Inputs!D32+$D$5</f>
        <v>0.1901702393568282</v>
      </c>
      <c r="F15" s="26">
        <f>Inputs!E32+$D$5</f>
        <v>0.18886725804470578</v>
      </c>
      <c r="G15" s="26">
        <f>Inputs!F32+$D$5</f>
        <v>0.18756427673258341</v>
      </c>
      <c r="H15" s="26">
        <f>Inputs!G32+$D$5</f>
        <v>0.18626129542046099</v>
      </c>
    </row>
    <row r="16" spans="1:10" x14ac:dyDescent="0.35">
      <c r="A16" s="3" t="s">
        <v>89</v>
      </c>
      <c r="C16" s="27">
        <f t="shared" ref="C16:H16" si="1">C14*C15</f>
        <v>1201.2660067217378</v>
      </c>
      <c r="D16" s="27">
        <f t="shared" si="1"/>
        <v>1261.6332216004603</v>
      </c>
      <c r="E16" s="27">
        <f t="shared" si="1"/>
        <v>1306.9914740925553</v>
      </c>
      <c r="F16" s="27">
        <f t="shared" si="1"/>
        <v>1335.2900615452786</v>
      </c>
      <c r="G16" s="27">
        <f t="shared" si="1"/>
        <v>1345.1072129010199</v>
      </c>
      <c r="H16" s="27">
        <f t="shared" si="1"/>
        <v>1335.7629518735862</v>
      </c>
    </row>
    <row r="17" spans="1:8" x14ac:dyDescent="0.35">
      <c r="A17" s="11" t="s">
        <v>92</v>
      </c>
      <c r="C17" s="28">
        <f>C14*Inputs!B33</f>
        <v>254.69939755299333</v>
      </c>
      <c r="D17" s="28">
        <f>D14*Inputs!C33</f>
        <v>269.31914297253513</v>
      </c>
      <c r="E17" s="28">
        <f>E14*Inputs!D33</f>
        <v>280.91333207750279</v>
      </c>
      <c r="F17" s="28">
        <f>F14*Inputs!E33</f>
        <v>288.97554470812707</v>
      </c>
      <c r="G17" s="28">
        <f>G14*Inputs!F33</f>
        <v>293.12234377468872</v>
      </c>
      <c r="H17" s="28">
        <f>H14*Inputs!G33</f>
        <v>293.12234377468872</v>
      </c>
    </row>
    <row r="18" spans="1:8" x14ac:dyDescent="0.35">
      <c r="A18" s="11" t="s">
        <v>93</v>
      </c>
      <c r="C18" s="28">
        <f t="shared" ref="C18:H18" si="2">C16-C17</f>
        <v>946.56660916874444</v>
      </c>
      <c r="D18" s="28">
        <f t="shared" si="2"/>
        <v>992.31407862792514</v>
      </c>
      <c r="E18" s="28">
        <f t="shared" si="2"/>
        <v>1026.0781420150524</v>
      </c>
      <c r="F18" s="28">
        <f t="shared" si="2"/>
        <v>1046.3145168371516</v>
      </c>
      <c r="G18" s="28">
        <f t="shared" si="2"/>
        <v>1051.9848691263312</v>
      </c>
      <c r="H18" s="28">
        <f t="shared" si="2"/>
        <v>1042.6406080988975</v>
      </c>
    </row>
    <row r="19" spans="1:8" x14ac:dyDescent="0.35">
      <c r="A19" s="11" t="s">
        <v>112</v>
      </c>
      <c r="C19" s="28">
        <f>-MAX(C18,0)*Inputs!$B$10</f>
        <v>-208.24465401712376</v>
      </c>
      <c r="D19" s="28">
        <f>-MAX(D18,0)*Inputs!$B$10</f>
        <v>-218.30909729814354</v>
      </c>
      <c r="E19" s="28">
        <f>-MAX(E18,0)*Inputs!$B$10</f>
        <v>-225.73719124331154</v>
      </c>
      <c r="F19" s="28">
        <f>-MAX(F18,0)*Inputs!$B$10</f>
        <v>-230.18919370417336</v>
      </c>
      <c r="G19" s="28">
        <f>-MAX(G18,0)*Inputs!$B$10</f>
        <v>-231.43667120779287</v>
      </c>
      <c r="H19" s="28">
        <f>-MAX(H18,0)*Inputs!$B$10</f>
        <v>-229.38093378175745</v>
      </c>
    </row>
    <row r="20" spans="1:8" x14ac:dyDescent="0.35">
      <c r="A20" s="11" t="s">
        <v>96</v>
      </c>
      <c r="C20" s="28">
        <f t="shared" ref="C20:H20" si="3">C18+C19</f>
        <v>738.32195515162061</v>
      </c>
      <c r="D20" s="28">
        <f t="shared" si="3"/>
        <v>774.00498132978157</v>
      </c>
      <c r="E20" s="28">
        <f t="shared" si="3"/>
        <v>800.34095077174084</v>
      </c>
      <c r="F20" s="28">
        <f t="shared" si="3"/>
        <v>816.12532313297822</v>
      </c>
      <c r="G20" s="28">
        <f t="shared" si="3"/>
        <v>820.54819791853834</v>
      </c>
      <c r="H20" s="28">
        <f t="shared" si="3"/>
        <v>813.25967431714002</v>
      </c>
    </row>
    <row r="21" spans="1:8" x14ac:dyDescent="0.35">
      <c r="A21" s="11" t="s">
        <v>97</v>
      </c>
      <c r="C21" s="28">
        <f>-C14*Inputs!B34</f>
        <v>-427.25781889369421</v>
      </c>
      <c r="D21" s="28">
        <f>-D14*Inputs!C34</f>
        <v>-417.98295418278622</v>
      </c>
      <c r="E21" s="28">
        <f>-E14*Inputs!D34</f>
        <v>-400.72258994061076</v>
      </c>
      <c r="F21" s="28">
        <f>-F14*Inputs!E34</f>
        <v>-375.95699282911534</v>
      </c>
      <c r="G21" s="28">
        <f>-G14*Inputs!F34</f>
        <v>-344.5652183198182</v>
      </c>
      <c r="H21" s="28">
        <f>-H14*Inputs!G34</f>
        <v>-307.77846096342324</v>
      </c>
    </row>
    <row r="22" spans="1:8" x14ac:dyDescent="0.35">
      <c r="A22" s="11" t="s">
        <v>98</v>
      </c>
      <c r="C22" s="28">
        <f>-Inputs!B35*(C14-B14)</f>
        <v>-268.74907874887282</v>
      </c>
      <c r="D22" s="28">
        <f>-Inputs!C35*(D14-C14)</f>
        <v>-177.126376577054</v>
      </c>
      <c r="E22" s="28">
        <f>-Inputs!D35*(E14-D14)</f>
        <v>-140.47007294443313</v>
      </c>
      <c r="F22" s="28">
        <f>-Inputs!E35*(F14-E14)</f>
        <v>-97.678206389793502</v>
      </c>
      <c r="G22" s="28">
        <f>-Inputs!F35*(G14-F14)</f>
        <v>-50.240785456590721</v>
      </c>
      <c r="H22" s="28">
        <f>-Inputs!G35*(H14-G14)</f>
        <v>0</v>
      </c>
    </row>
    <row r="23" spans="1:8" x14ac:dyDescent="0.35">
      <c r="A23" s="3" t="s">
        <v>99</v>
      </c>
      <c r="C23" s="27">
        <f t="shared" ref="C23:H23" si="4">C20+C17+C21+C22</f>
        <v>297.01445506204692</v>
      </c>
      <c r="D23" s="27">
        <f t="shared" si="4"/>
        <v>448.21479354247651</v>
      </c>
      <c r="E23" s="27">
        <f t="shared" si="4"/>
        <v>540.06161996419985</v>
      </c>
      <c r="F23" s="27">
        <f t="shared" si="4"/>
        <v>631.46566862219652</v>
      </c>
      <c r="G23" s="27">
        <f t="shared" si="4"/>
        <v>718.86453791681811</v>
      </c>
      <c r="H23" s="27">
        <f t="shared" si="4"/>
        <v>798.60355712840555</v>
      </c>
    </row>
    <row r="24" spans="1:8" x14ac:dyDescent="0.35">
      <c r="A24" s="11" t="s">
        <v>132</v>
      </c>
      <c r="B24" s="28">
        <f>NPV($G$5,$C$23:$H$23)*(1+$G$5)^(0.5*Inputs!$B$18)+IF(Inputs!$B$19=1,$H$20*(1+$H$5)*(1-$H$5/Inputs!$B$20),$H$23*(1+$H$5))/($G$5-$H$5)/(1+$G$5)^6</f>
        <v>12565.938339570861</v>
      </c>
    </row>
    <row r="25" spans="1:8" x14ac:dyDescent="0.35">
      <c r="A25" s="3" t="s">
        <v>154</v>
      </c>
      <c r="B25" s="45">
        <f>(B24-Inputs!$B$8-Inputs!$B$9)/Inputs!$B$7/Inputs!$B$6</f>
        <v>198.73694594405987</v>
      </c>
    </row>
    <row r="27" spans="1:8" x14ac:dyDescent="0.35">
      <c r="A27" s="9" t="s">
        <v>161</v>
      </c>
      <c r="B27" s="46" t="str">
        <f>Forecast!B4</f>
        <v>2025A</v>
      </c>
      <c r="C27" s="14" t="s">
        <v>65</v>
      </c>
      <c r="D27" s="14" t="s">
        <v>66</v>
      </c>
      <c r="E27" s="14" t="s">
        <v>67</v>
      </c>
      <c r="F27" s="14" t="s">
        <v>68</v>
      </c>
      <c r="G27" s="14" t="s">
        <v>69</v>
      </c>
      <c r="H27" s="14" t="s">
        <v>70</v>
      </c>
    </row>
    <row r="28" spans="1:8" x14ac:dyDescent="0.35">
      <c r="A28" s="25" t="s">
        <v>71</v>
      </c>
      <c r="C28" s="26">
        <f>Inputs!B31+$C$6</f>
        <v>0.1154</v>
      </c>
      <c r="D28" s="26">
        <f>Inputs!C31+$C$6</f>
        <v>7.7399999999999997E-2</v>
      </c>
      <c r="E28" s="26">
        <f>Inputs!D31+$C$6</f>
        <v>6.3049999999999995E-2</v>
      </c>
      <c r="F28" s="26">
        <f>Inputs!E31+$C$6</f>
        <v>4.87E-2</v>
      </c>
      <c r="G28" s="26">
        <f>Inputs!F31+$C$6</f>
        <v>3.4350000000000012E-2</v>
      </c>
      <c r="H28" s="26">
        <f>Inputs!G31+$C$6</f>
        <v>0.02</v>
      </c>
    </row>
    <row r="29" spans="1:8" x14ac:dyDescent="0.35">
      <c r="A29" s="3" t="s">
        <v>85</v>
      </c>
      <c r="B29" s="31">
        <f>Forecast!B6</f>
        <v>5688.7</v>
      </c>
      <c r="C29" s="27">
        <f t="shared" ref="C29:H29" si="5">B29*(1+C28)</f>
        <v>6345.1759799999991</v>
      </c>
      <c r="D29" s="27">
        <f t="shared" si="5"/>
        <v>6836.292600851998</v>
      </c>
      <c r="E29" s="27">
        <f t="shared" si="5"/>
        <v>7267.320849335717</v>
      </c>
      <c r="F29" s="27">
        <f t="shared" si="5"/>
        <v>7621.2393746983662</v>
      </c>
      <c r="G29" s="27">
        <f t="shared" si="5"/>
        <v>7883.0289472192562</v>
      </c>
      <c r="H29" s="27">
        <f t="shared" si="5"/>
        <v>8040.6895261636419</v>
      </c>
    </row>
    <row r="30" spans="1:8" x14ac:dyDescent="0.35">
      <c r="A30" s="25" t="s">
        <v>72</v>
      </c>
      <c r="C30" s="26">
        <f>Inputs!B32+$D$6</f>
        <v>0.20777620198107291</v>
      </c>
      <c r="D30" s="26">
        <f>Inputs!C32+$D$6</f>
        <v>0.20647322066895049</v>
      </c>
      <c r="E30" s="26">
        <f>Inputs!D32+$D$6</f>
        <v>0.20517023935682821</v>
      </c>
      <c r="F30" s="26">
        <f>Inputs!E32+$D$6</f>
        <v>0.20386725804470579</v>
      </c>
      <c r="G30" s="26">
        <f>Inputs!F32+$D$6</f>
        <v>0.2025642767325834</v>
      </c>
      <c r="H30" s="26">
        <f>Inputs!G32+$D$6</f>
        <v>0.20126129542046101</v>
      </c>
    </row>
    <row r="31" spans="1:8" x14ac:dyDescent="0.35">
      <c r="A31" s="3" t="s">
        <v>89</v>
      </c>
      <c r="C31" s="27">
        <f t="shared" ref="C31:H31" si="6">C29*C30</f>
        <v>1318.3765660259321</v>
      </c>
      <c r="D31" s="27">
        <f t="shared" si="6"/>
        <v>1411.511350733228</v>
      </c>
      <c r="E31" s="27">
        <f t="shared" si="6"/>
        <v>1491.0379581410771</v>
      </c>
      <c r="F31" s="27">
        <f t="shared" si="6"/>
        <v>1553.7211742221041</v>
      </c>
      <c r="G31" s="27">
        <f t="shared" si="6"/>
        <v>1596.8200571554869</v>
      </c>
      <c r="H31" s="27">
        <f t="shared" si="6"/>
        <v>1618.2795901094273</v>
      </c>
    </row>
    <row r="32" spans="1:8" x14ac:dyDescent="0.35">
      <c r="A32" s="11" t="s">
        <v>92</v>
      </c>
      <c r="C32" s="28">
        <f>C29*Inputs!B33</f>
        <v>259.34974258773849</v>
      </c>
      <c r="D32" s="28">
        <f>D29*Inputs!C33</f>
        <v>279.4234126640294</v>
      </c>
      <c r="E32" s="28">
        <f>E29*Inputs!D33</f>
        <v>297.0410588324965</v>
      </c>
      <c r="F32" s="28">
        <f>F29*Inputs!E33</f>
        <v>311.50695839763904</v>
      </c>
      <c r="G32" s="28">
        <f>G29*Inputs!F33</f>
        <v>322.20722241859801</v>
      </c>
      <c r="H32" s="28">
        <f>H29*Inputs!G33</f>
        <v>328.65136686696997</v>
      </c>
    </row>
    <row r="33" spans="1:8" x14ac:dyDescent="0.35">
      <c r="A33" s="11" t="s">
        <v>93</v>
      </c>
      <c r="C33" s="28">
        <f t="shared" ref="C33:H33" si="7">C31-C32</f>
        <v>1059.0268234381936</v>
      </c>
      <c r="D33" s="28">
        <f t="shared" si="7"/>
        <v>1132.0879380691986</v>
      </c>
      <c r="E33" s="28">
        <f t="shared" si="7"/>
        <v>1193.9968993085806</v>
      </c>
      <c r="F33" s="28">
        <f t="shared" si="7"/>
        <v>1242.2142158244651</v>
      </c>
      <c r="G33" s="28">
        <f t="shared" si="7"/>
        <v>1274.612834736889</v>
      </c>
      <c r="H33" s="28">
        <f t="shared" si="7"/>
        <v>1289.6282232424574</v>
      </c>
    </row>
    <row r="34" spans="1:8" x14ac:dyDescent="0.35">
      <c r="A34" s="11" t="s">
        <v>112</v>
      </c>
      <c r="C34" s="28">
        <f>-MAX(C33,0)*Inputs!$B$10</f>
        <v>-232.98590115640258</v>
      </c>
      <c r="D34" s="28">
        <f>-MAX(D33,0)*Inputs!$B$10</f>
        <v>-249.0593463752237</v>
      </c>
      <c r="E34" s="28">
        <f>-MAX(E33,0)*Inputs!$B$10</f>
        <v>-262.67931784788772</v>
      </c>
      <c r="F34" s="28">
        <f>-MAX(F33,0)*Inputs!$B$10</f>
        <v>-273.2871274813823</v>
      </c>
      <c r="G34" s="28">
        <f>-MAX(G33,0)*Inputs!$B$10</f>
        <v>-280.41482364211561</v>
      </c>
      <c r="H34" s="28">
        <f>-MAX(H33,0)*Inputs!$B$10</f>
        <v>-283.71820911334061</v>
      </c>
    </row>
    <row r="35" spans="1:8" x14ac:dyDescent="0.35">
      <c r="A35" s="11" t="s">
        <v>96</v>
      </c>
      <c r="C35" s="28">
        <f t="shared" ref="C35:H35" si="8">C33+C34</f>
        <v>826.04092228179093</v>
      </c>
      <c r="D35" s="28">
        <f t="shared" si="8"/>
        <v>883.02859169397493</v>
      </c>
      <c r="E35" s="28">
        <f t="shared" si="8"/>
        <v>931.31758146069296</v>
      </c>
      <c r="F35" s="28">
        <f t="shared" si="8"/>
        <v>968.9270883430828</v>
      </c>
      <c r="G35" s="28">
        <f t="shared" si="8"/>
        <v>994.19801109477339</v>
      </c>
      <c r="H35" s="28">
        <f t="shared" si="8"/>
        <v>1005.9100141291167</v>
      </c>
    </row>
    <row r="36" spans="1:8" x14ac:dyDescent="0.35">
      <c r="A36" s="11" t="s">
        <v>97</v>
      </c>
      <c r="C36" s="28">
        <f>-C29*Inputs!B34</f>
        <v>-435.05876501189198</v>
      </c>
      <c r="D36" s="28">
        <f>-D29*Inputs!C34</f>
        <v>-433.66476739849611</v>
      </c>
      <c r="E36" s="28">
        <f>-E29*Inputs!D34</f>
        <v>-423.72877618075876</v>
      </c>
      <c r="F36" s="28">
        <f>-F29*Inputs!E34</f>
        <v>-405.27034715968148</v>
      </c>
      <c r="G36" s="28">
        <f>-G29*Inputs!F34</f>
        <v>-378.75448356207227</v>
      </c>
      <c r="H36" s="28">
        <f>-H29*Inputs!G34</f>
        <v>-345.0839352103186</v>
      </c>
    </row>
    <row r="37" spans="1:8" x14ac:dyDescent="0.35">
      <c r="A37" s="11" t="s">
        <v>98</v>
      </c>
      <c r="C37" s="28">
        <f>-Inputs!B35*(C29-B29)</f>
        <v>-325.09060469203251</v>
      </c>
      <c r="D37" s="28">
        <f>-Inputs!C35*(D29-C29)</f>
        <v>-243.20371820319181</v>
      </c>
      <c r="E37" s="28">
        <f>-Inputs!D35*(E29-D29)</f>
        <v>-213.44761759435582</v>
      </c>
      <c r="F37" s="28">
        <f>-Inputs!E35*(F29-E29)</f>
        <v>-175.26244817343692</v>
      </c>
      <c r="G37" s="28">
        <f>-Inputs!F35*(G29-F29)</f>
        <v>-129.6396715579524</v>
      </c>
      <c r="H37" s="28">
        <f>-Inputs!G35*(H29-G29)</f>
        <v>-78.074407147579578</v>
      </c>
    </row>
    <row r="38" spans="1:8" x14ac:dyDescent="0.35">
      <c r="A38" s="3" t="s">
        <v>99</v>
      </c>
      <c r="C38" s="27">
        <f t="shared" ref="C38:H38" si="9">C35+C32+C36+C37</f>
        <v>325.24129516560498</v>
      </c>
      <c r="D38" s="27">
        <f t="shared" si="9"/>
        <v>485.58351875631649</v>
      </c>
      <c r="E38" s="27">
        <f t="shared" si="9"/>
        <v>591.18224651807475</v>
      </c>
      <c r="F38" s="27">
        <f t="shared" si="9"/>
        <v>699.90125140760347</v>
      </c>
      <c r="G38" s="27">
        <f t="shared" si="9"/>
        <v>808.01107839334691</v>
      </c>
      <c r="H38" s="27">
        <f t="shared" si="9"/>
        <v>911.40303863818849</v>
      </c>
    </row>
    <row r="39" spans="1:8" x14ac:dyDescent="0.35">
      <c r="A39" s="11" t="s">
        <v>132</v>
      </c>
      <c r="B39" s="28">
        <f>NPV($G$6,$C$38:$H$38)*(1+$G$6)^(0.5*Inputs!$B$18)+IF(Inputs!$B$19=1,$H$35*(1+$H$6)*(1-$H$6/Inputs!$B$20),$H$38*(1+$H$6))/($G$6-$H$6)/(1+$G$6)^6</f>
        <v>16552.162131960176</v>
      </c>
    </row>
    <row r="40" spans="1:8" x14ac:dyDescent="0.35">
      <c r="A40" s="3" t="s">
        <v>154</v>
      </c>
      <c r="B40" s="45">
        <f>(B39-Inputs!$B$8-Inputs!$B$9)/Inputs!$B$7/Inputs!$B$6</f>
        <v>280.32364155169148</v>
      </c>
    </row>
    <row r="42" spans="1:8" x14ac:dyDescent="0.35">
      <c r="A42" s="9" t="s">
        <v>162</v>
      </c>
      <c r="B42" s="46" t="str">
        <f>Forecast!B4</f>
        <v>2025A</v>
      </c>
      <c r="C42" s="14" t="s">
        <v>65</v>
      </c>
      <c r="D42" s="14" t="s">
        <v>66</v>
      </c>
      <c r="E42" s="14" t="s">
        <v>67</v>
      </c>
      <c r="F42" s="14" t="s">
        <v>68</v>
      </c>
      <c r="G42" s="14" t="s">
        <v>69</v>
      </c>
      <c r="H42" s="14" t="s">
        <v>70</v>
      </c>
    </row>
    <row r="43" spans="1:8" x14ac:dyDescent="0.35">
      <c r="A43" s="25" t="s">
        <v>71</v>
      </c>
      <c r="C43" s="26">
        <f>Inputs!B31+$C$7</f>
        <v>0.13539999999999999</v>
      </c>
      <c r="D43" s="26">
        <f>Inputs!C31+$C$7</f>
        <v>9.74E-2</v>
      </c>
      <c r="E43" s="26">
        <f>Inputs!D31+$C$7</f>
        <v>8.3049999999999999E-2</v>
      </c>
      <c r="F43" s="26">
        <f>Inputs!E31+$C$7</f>
        <v>6.8699999999999997E-2</v>
      </c>
      <c r="G43" s="26">
        <f>Inputs!F31+$C$7</f>
        <v>5.4350000000000009E-2</v>
      </c>
      <c r="H43" s="26">
        <f>Inputs!G31+$C$7</f>
        <v>0.04</v>
      </c>
    </row>
    <row r="44" spans="1:8" x14ac:dyDescent="0.35">
      <c r="A44" s="3" t="s">
        <v>85</v>
      </c>
      <c r="B44" s="31">
        <f>Forecast!B6</f>
        <v>5688.7</v>
      </c>
      <c r="C44" s="27">
        <f t="shared" ref="C44:H44" si="10">B44*(1+C43)</f>
        <v>6458.9499799999994</v>
      </c>
      <c r="D44" s="27">
        <f t="shared" si="10"/>
        <v>7088.0517080519985</v>
      </c>
      <c r="E44" s="27">
        <f t="shared" si="10"/>
        <v>7676.714402405717</v>
      </c>
      <c r="F44" s="27">
        <f t="shared" si="10"/>
        <v>8204.1046818509894</v>
      </c>
      <c r="G44" s="27">
        <f t="shared" si="10"/>
        <v>8649.9977713095905</v>
      </c>
      <c r="H44" s="27">
        <f t="shared" si="10"/>
        <v>8995.9976821619748</v>
      </c>
    </row>
    <row r="45" spans="1:8" x14ac:dyDescent="0.35">
      <c r="A45" s="25" t="s">
        <v>72</v>
      </c>
      <c r="C45" s="26">
        <f>Inputs!B32+$D$7</f>
        <v>0.2227762019810729</v>
      </c>
      <c r="D45" s="26">
        <f>Inputs!C32+$D$7</f>
        <v>0.22147322066895048</v>
      </c>
      <c r="E45" s="26">
        <f>Inputs!D32+$D$7</f>
        <v>0.22017023935682822</v>
      </c>
      <c r="F45" s="26">
        <f>Inputs!E32+$D$7</f>
        <v>0.2188672580447058</v>
      </c>
      <c r="G45" s="26">
        <f>Inputs!F32+$D$7</f>
        <v>0.21756427673258338</v>
      </c>
      <c r="H45" s="26">
        <f>Inputs!G32+$D$7</f>
        <v>0.21626129542046102</v>
      </c>
    </row>
    <row r="46" spans="1:8" x14ac:dyDescent="0.35">
      <c r="A46" s="3" t="s">
        <v>89</v>
      </c>
      <c r="C46" s="27">
        <f t="shared" ref="C46:H46" si="11">C44*C45</f>
        <v>1438.9003453301266</v>
      </c>
      <c r="D46" s="27">
        <f t="shared" si="11"/>
        <v>1569.8136400503315</v>
      </c>
      <c r="E46" s="27">
        <f t="shared" si="11"/>
        <v>1690.1840474516773</v>
      </c>
      <c r="F46" s="27">
        <f t="shared" si="11"/>
        <v>1795.6098964284595</v>
      </c>
      <c r="G46" s="27">
        <f t="shared" si="11"/>
        <v>1881.9305088534293</v>
      </c>
      <c r="H46" s="27">
        <f t="shared" si="11"/>
        <v>1945.4861123438134</v>
      </c>
    </row>
    <row r="47" spans="1:8" x14ac:dyDescent="0.35">
      <c r="A47" s="11" t="s">
        <v>92</v>
      </c>
      <c r="C47" s="28">
        <f>C44*Inputs!B33</f>
        <v>264.0000876224837</v>
      </c>
      <c r="D47" s="28">
        <f>D44*Inputs!C33</f>
        <v>289.71369615691356</v>
      </c>
      <c r="E47" s="28">
        <f>E44*Inputs!D33</f>
        <v>313.77441862274526</v>
      </c>
      <c r="F47" s="28">
        <f>F44*Inputs!E33</f>
        <v>335.33072118212783</v>
      </c>
      <c r="G47" s="28">
        <f>G44*Inputs!F33</f>
        <v>353.55594587837646</v>
      </c>
      <c r="H47" s="28">
        <f>H44*Inputs!G33</f>
        <v>367.69818371351153</v>
      </c>
    </row>
    <row r="48" spans="1:8" x14ac:dyDescent="0.35">
      <c r="A48" s="11" t="s">
        <v>93</v>
      </c>
      <c r="C48" s="28">
        <f t="shared" ref="C48:H48" si="12">C46-C47</f>
        <v>1174.9002577076428</v>
      </c>
      <c r="D48" s="28">
        <f t="shared" si="12"/>
        <v>1280.099943893418</v>
      </c>
      <c r="E48" s="28">
        <f t="shared" si="12"/>
        <v>1376.409628828932</v>
      </c>
      <c r="F48" s="28">
        <f t="shared" si="12"/>
        <v>1460.2791752463318</v>
      </c>
      <c r="G48" s="28">
        <f t="shared" si="12"/>
        <v>1528.3745629750529</v>
      </c>
      <c r="H48" s="28">
        <f t="shared" si="12"/>
        <v>1577.7879286303018</v>
      </c>
    </row>
    <row r="49" spans="1:8" x14ac:dyDescent="0.35">
      <c r="A49" s="11" t="s">
        <v>112</v>
      </c>
      <c r="C49" s="28">
        <f>-MAX(C48,0)*Inputs!$B$10</f>
        <v>-258.4780566956814</v>
      </c>
      <c r="D49" s="28">
        <f>-MAX(D48,0)*Inputs!$B$10</f>
        <v>-281.62198765655194</v>
      </c>
      <c r="E49" s="28">
        <f>-MAX(E48,0)*Inputs!$B$10</f>
        <v>-302.81011834236506</v>
      </c>
      <c r="F49" s="28">
        <f>-MAX(F48,0)*Inputs!$B$10</f>
        <v>-321.26141855419297</v>
      </c>
      <c r="G49" s="28">
        <f>-MAX(G48,0)*Inputs!$B$10</f>
        <v>-336.24240385451162</v>
      </c>
      <c r="H49" s="28">
        <f>-MAX(H48,0)*Inputs!$B$10</f>
        <v>-347.11334429866639</v>
      </c>
    </row>
    <row r="50" spans="1:8" x14ac:dyDescent="0.35">
      <c r="A50" s="11" t="s">
        <v>96</v>
      </c>
      <c r="C50" s="28">
        <f t="shared" ref="C50:H50" si="13">C48+C49</f>
        <v>916.42220101196142</v>
      </c>
      <c r="D50" s="28">
        <f t="shared" si="13"/>
        <v>998.47795623686602</v>
      </c>
      <c r="E50" s="28">
        <f t="shared" si="13"/>
        <v>1073.5995104865669</v>
      </c>
      <c r="F50" s="28">
        <f t="shared" si="13"/>
        <v>1139.0177566921388</v>
      </c>
      <c r="G50" s="28">
        <f t="shared" si="13"/>
        <v>1192.1321591205412</v>
      </c>
      <c r="H50" s="28">
        <f t="shared" si="13"/>
        <v>1230.6745843316355</v>
      </c>
    </row>
    <row r="51" spans="1:8" x14ac:dyDescent="0.35">
      <c r="A51" s="11" t="s">
        <v>97</v>
      </c>
      <c r="C51" s="28">
        <f>-C44*Inputs!B34</f>
        <v>-442.85971113008981</v>
      </c>
      <c r="D51" s="28">
        <f>-D44*Inputs!C34</f>
        <v>-449.6352737882803</v>
      </c>
      <c r="E51" s="28">
        <f>-E44*Inputs!D34</f>
        <v>-447.59889734576825</v>
      </c>
      <c r="F51" s="28">
        <f>-F44*Inputs!E34</f>
        <v>-436.26504680935983</v>
      </c>
      <c r="G51" s="28">
        <f>-G44*Inputs!F34</f>
        <v>-415.60489763787189</v>
      </c>
      <c r="H51" s="28">
        <f>-H44*Inputs!G34</f>
        <v>-386.08309289918719</v>
      </c>
    </row>
    <row r="52" spans="1:8" x14ac:dyDescent="0.35">
      <c r="A52" s="11" t="s">
        <v>98</v>
      </c>
      <c r="C52" s="28">
        <f>-Inputs!B35*(C44-B44)</f>
        <v>-381.43213063519261</v>
      </c>
      <c r="D52" s="28">
        <f>-Inputs!C35*(D44-C44)</f>
        <v>-311.53472086705625</v>
      </c>
      <c r="E52" s="28">
        <f>-Inputs!D35*(E44-D44)</f>
        <v>-291.50908349623342</v>
      </c>
      <c r="F52" s="28">
        <f>-Inputs!E35*(F44-E44)</f>
        <v>-261.16663834914999</v>
      </c>
      <c r="G52" s="28">
        <f>-Inputs!F35*(G44-F44)</f>
        <v>-220.80877061198083</v>
      </c>
      <c r="H52" s="28">
        <f>-Inputs!G35*(H44-G44)</f>
        <v>-171.34110564470475</v>
      </c>
    </row>
    <row r="53" spans="1:8" x14ac:dyDescent="0.35">
      <c r="A53" s="3" t="s">
        <v>99</v>
      </c>
      <c r="C53" s="27">
        <f t="shared" ref="C53:H53" si="14">C50+C47+C51+C52</f>
        <v>356.1304468691626</v>
      </c>
      <c r="D53" s="27">
        <f t="shared" si="14"/>
        <v>527.02165773844308</v>
      </c>
      <c r="E53" s="27">
        <f t="shared" si="14"/>
        <v>648.26594826731059</v>
      </c>
      <c r="F53" s="27">
        <f t="shared" si="14"/>
        <v>776.91679271575708</v>
      </c>
      <c r="G53" s="27">
        <f t="shared" si="14"/>
        <v>909.27443674906499</v>
      </c>
      <c r="H53" s="27">
        <f t="shared" si="14"/>
        <v>1040.948569501255</v>
      </c>
    </row>
    <row r="54" spans="1:8" x14ac:dyDescent="0.35">
      <c r="A54" s="11" t="s">
        <v>132</v>
      </c>
      <c r="B54" s="28">
        <f>NPV($G$7,$C$53:$H$53)*(1+$G$7)^(0.5*Inputs!$B$18)+IF(Inputs!$B$19=1,$H$50*(1+$H$7)*(1-$H$7/Inputs!$B$20),$H$53*(1+$H$7))/($G$7-$H$7)/(1+$G$7)^6</f>
        <v>22437.844692243998</v>
      </c>
    </row>
    <row r="55" spans="1:8" x14ac:dyDescent="0.35">
      <c r="A55" s="3" t="s">
        <v>154</v>
      </c>
      <c r="B55" s="45">
        <f>(B54-Inputs!$B$8-Inputs!$B$9)/Inputs!$B$7/Inputs!$B$6</f>
        <v>400.78687103866349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8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4" customWidth="1"/>
    <col min="2" max="2" width="12" customWidth="1"/>
    <col min="3" max="3" width="18" customWidth="1"/>
    <col min="4" max="5" width="14" customWidth="1"/>
    <col min="6" max="12" width="12" customWidth="1"/>
  </cols>
  <sheetData>
    <row r="1" spans="1:12" ht="18" x14ac:dyDescent="0.4">
      <c r="A1" s="1" t="s">
        <v>163</v>
      </c>
    </row>
    <row r="2" spans="1:12" x14ac:dyDescent="0.35">
      <c r="A2" s="2" t="s">
        <v>164</v>
      </c>
    </row>
    <row r="4" spans="1:12" x14ac:dyDescent="0.35">
      <c r="A4" s="13" t="s">
        <v>165</v>
      </c>
      <c r="B4" s="13" t="s">
        <v>166</v>
      </c>
      <c r="C4" s="13" t="s">
        <v>167</v>
      </c>
      <c r="D4" s="14" t="s">
        <v>168</v>
      </c>
      <c r="E4" s="14" t="s">
        <v>169</v>
      </c>
      <c r="F4" s="14" t="s">
        <v>170</v>
      </c>
      <c r="G4" s="14" t="s">
        <v>72</v>
      </c>
      <c r="H4" s="14" t="s">
        <v>171</v>
      </c>
      <c r="I4" s="14" t="s">
        <v>172</v>
      </c>
      <c r="J4" s="14" t="s">
        <v>173</v>
      </c>
      <c r="K4" s="14" t="s">
        <v>174</v>
      </c>
      <c r="L4" s="14" t="s">
        <v>175</v>
      </c>
    </row>
    <row r="6" spans="1:12" x14ac:dyDescent="0.35">
      <c r="A6" s="3" t="s">
        <v>176</v>
      </c>
      <c r="F6" s="47" t="str">
        <f t="shared" ref="F6:L6" si="0">IFERROR(AVERAGE(F4:F5),"")</f>
        <v/>
      </c>
      <c r="G6" s="47" t="str">
        <f t="shared" si="0"/>
        <v/>
      </c>
      <c r="H6" s="48" t="str">
        <f t="shared" si="0"/>
        <v/>
      </c>
      <c r="I6" s="48" t="str">
        <f t="shared" si="0"/>
        <v/>
      </c>
      <c r="J6" s="48" t="str">
        <f t="shared" si="0"/>
        <v/>
      </c>
      <c r="K6" s="48" t="str">
        <f t="shared" si="0"/>
        <v/>
      </c>
      <c r="L6" s="48" t="str">
        <f t="shared" si="0"/>
        <v/>
      </c>
    </row>
    <row r="7" spans="1:12" x14ac:dyDescent="0.35">
      <c r="A7" s="3" t="s">
        <v>177</v>
      </c>
      <c r="F7" s="40" t="str">
        <f t="shared" ref="F7:L7" si="1">IFERROR(MEDIAN(F4:F5),"")</f>
        <v/>
      </c>
      <c r="G7" s="40" t="str">
        <f t="shared" si="1"/>
        <v/>
      </c>
      <c r="H7" s="49" t="str">
        <f t="shared" si="1"/>
        <v/>
      </c>
      <c r="I7" s="49" t="str">
        <f t="shared" si="1"/>
        <v/>
      </c>
      <c r="J7" s="49" t="str">
        <f t="shared" si="1"/>
        <v/>
      </c>
      <c r="K7" s="49" t="str">
        <f t="shared" si="1"/>
        <v/>
      </c>
      <c r="L7" s="49" t="str">
        <f t="shared" si="1"/>
        <v/>
      </c>
    </row>
    <row r="8" spans="1:12" x14ac:dyDescent="0.35">
      <c r="A8" s="3" t="s">
        <v>178</v>
      </c>
      <c r="F8" s="40" t="str">
        <f t="shared" ref="F8:L8" si="2">IFERROR(QUARTILE(F4:F5,1),"")</f>
        <v/>
      </c>
      <c r="G8" s="40" t="str">
        <f t="shared" si="2"/>
        <v/>
      </c>
      <c r="H8" s="49" t="str">
        <f t="shared" si="2"/>
        <v/>
      </c>
      <c r="I8" s="49" t="str">
        <f t="shared" si="2"/>
        <v/>
      </c>
      <c r="J8" s="49" t="str">
        <f t="shared" si="2"/>
        <v/>
      </c>
      <c r="K8" s="49" t="str">
        <f t="shared" si="2"/>
        <v/>
      </c>
      <c r="L8" s="49" t="str">
        <f t="shared" si="2"/>
        <v/>
      </c>
    </row>
    <row r="9" spans="1:12" x14ac:dyDescent="0.35">
      <c r="A9" s="3" t="s">
        <v>179</v>
      </c>
      <c r="F9" s="40" t="str">
        <f t="shared" ref="F9:L9" si="3">IFERROR(QUARTILE(F4:F5,3),"")</f>
        <v/>
      </c>
      <c r="G9" s="40" t="str">
        <f t="shared" si="3"/>
        <v/>
      </c>
      <c r="H9" s="49" t="str">
        <f t="shared" si="3"/>
        <v/>
      </c>
      <c r="I9" s="49" t="str">
        <f t="shared" si="3"/>
        <v/>
      </c>
      <c r="J9" s="49" t="str">
        <f t="shared" si="3"/>
        <v/>
      </c>
      <c r="K9" s="49" t="str">
        <f t="shared" si="3"/>
        <v/>
      </c>
      <c r="L9" s="49" t="str">
        <f t="shared" si="3"/>
        <v/>
      </c>
    </row>
    <row r="12" spans="1:12" x14ac:dyDescent="0.35">
      <c r="A12" s="9" t="s">
        <v>180</v>
      </c>
      <c r="D12" s="13" t="s">
        <v>181</v>
      </c>
      <c r="E12" s="14" t="s">
        <v>182</v>
      </c>
      <c r="F12" s="14" t="s">
        <v>183</v>
      </c>
      <c r="G12" s="14" t="s">
        <v>184</v>
      </c>
      <c r="H12" s="14" t="s">
        <v>155</v>
      </c>
    </row>
    <row r="13" spans="1:12" x14ac:dyDescent="0.35">
      <c r="A13" s="11" t="s">
        <v>185</v>
      </c>
      <c r="B13" s="28">
        <f>(Inputs!$B$5*Inputs!$B$6)*Inputs!$B$7</f>
        <v>9869.4670750621954</v>
      </c>
      <c r="D13" s="11" t="s">
        <v>171</v>
      </c>
      <c r="E13" s="29">
        <f>IF(B15&lt;=0,"n.m.",B14/B15)</f>
        <v>2.23695520506657</v>
      </c>
      <c r="F13" s="29" t="str">
        <f>H7</f>
        <v/>
      </c>
      <c r="G13" s="41" t="e">
        <f>IF(B15&lt;=0,"",(H7*B15-Inputs!$B$8-Inputs!$B$9)/Inputs!$B$7/Inputs!$B$6)</f>
        <v>#VALUE!</v>
      </c>
      <c r="H13" s="34" t="e">
        <f>IF(G13="","",G13/Inputs!$B$5-1)</f>
        <v>#VALUE!</v>
      </c>
    </row>
    <row r="14" spans="1:12" x14ac:dyDescent="0.35">
      <c r="A14" s="11" t="s">
        <v>132</v>
      </c>
      <c r="B14" s="28">
        <f>B13+Inputs!$B$8+Inputs!$B$9</f>
        <v>12725.367075062195</v>
      </c>
      <c r="D14" s="11" t="s">
        <v>172</v>
      </c>
      <c r="E14" s="29">
        <f>IF(B16&lt;=0,"n.m.",B14/B16)</f>
        <v>10.699081418974405</v>
      </c>
      <c r="F14" s="29" t="str">
        <f>I7</f>
        <v/>
      </c>
      <c r="G14" s="41" t="e">
        <f>IF(B16&lt;=0,"",(I7*B16-Inputs!$B$8-Inputs!$B$9)/Inputs!$B$7/Inputs!$B$6)</f>
        <v>#VALUE!</v>
      </c>
      <c r="H14" s="34" t="e">
        <f>IF(G14="","",G14/Inputs!$B$5-1)</f>
        <v>#VALUE!</v>
      </c>
    </row>
    <row r="15" spans="1:12" x14ac:dyDescent="0.35">
      <c r="A15" s="11" t="s">
        <v>186</v>
      </c>
      <c r="B15" s="31">
        <f>Historicals!E5</f>
        <v>5688.7</v>
      </c>
      <c r="D15" s="11" t="s">
        <v>173</v>
      </c>
      <c r="E15" s="29">
        <f>IF(B17&lt;=0,"n.m.",B14/B17)</f>
        <v>13.552203980145869</v>
      </c>
      <c r="F15" s="29" t="str">
        <f>J7</f>
        <v/>
      </c>
      <c r="G15" s="41" t="e">
        <f>IF(B17&lt;=0,"",(J7*B17-Inputs!$B$8-Inputs!$B$9)/Inputs!$B$7/Inputs!$B$6)</f>
        <v>#VALUE!</v>
      </c>
      <c r="H15" s="34" t="e">
        <f>IF(G15="","",G15/Inputs!$B$5-1)</f>
        <v>#VALUE!</v>
      </c>
    </row>
    <row r="16" spans="1:12" x14ac:dyDescent="0.35">
      <c r="A16" s="11" t="s">
        <v>187</v>
      </c>
      <c r="B16" s="31">
        <f>Historicals!E9</f>
        <v>1189.3887500000001</v>
      </c>
      <c r="D16" s="11" t="s">
        <v>174</v>
      </c>
      <c r="E16" s="29">
        <f>IF(B18&lt;=0,"n.m.",(Inputs!$B$5*Inputs!$B$6)/B18)</f>
        <v>13.56327571514724</v>
      </c>
      <c r="F16" s="29" t="str">
        <f>K7</f>
        <v/>
      </c>
      <c r="G16" s="41" t="e">
        <f>IF(B18&lt;=0,"",K7*B18/Inputs!$B$6)</f>
        <v>#VALUE!</v>
      </c>
      <c r="H16" s="34" t="e">
        <f>IF(G16="","",G16/Inputs!$B$5-1)</f>
        <v>#VALUE!</v>
      </c>
    </row>
    <row r="17" spans="1:2" x14ac:dyDescent="0.35">
      <c r="A17" s="11" t="s">
        <v>188</v>
      </c>
      <c r="B17" s="31">
        <f>Historicals!E14</f>
        <v>938.9887500000001</v>
      </c>
    </row>
    <row r="18" spans="1:2" x14ac:dyDescent="0.35">
      <c r="A18" s="11" t="s">
        <v>189</v>
      </c>
      <c r="B18" s="4">
        <f>Historicals!E23</f>
        <v>1.38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4.5" x14ac:dyDescent="0.35"/>
  <cols>
    <col min="1" max="1" width="34" customWidth="1"/>
    <col min="2" max="4" width="12" customWidth="1"/>
  </cols>
  <sheetData>
    <row r="1" spans="1:4" ht="18" x14ac:dyDescent="0.4">
      <c r="A1" s="1" t="s">
        <v>190</v>
      </c>
    </row>
    <row r="2" spans="1:4" x14ac:dyDescent="0.35">
      <c r="A2" s="2" t="s">
        <v>191</v>
      </c>
    </row>
    <row r="4" spans="1:4" x14ac:dyDescent="0.35">
      <c r="A4" s="13" t="s">
        <v>192</v>
      </c>
      <c r="B4" s="14" t="s">
        <v>193</v>
      </c>
      <c r="C4" s="14" t="s">
        <v>194</v>
      </c>
      <c r="D4" s="14" t="s">
        <v>195</v>
      </c>
    </row>
    <row r="5" spans="1:4" x14ac:dyDescent="0.35">
      <c r="A5" s="11" t="s">
        <v>196</v>
      </c>
      <c r="B5" s="23">
        <v>179.4</v>
      </c>
      <c r="C5" s="23">
        <v>245.8</v>
      </c>
      <c r="D5" s="41">
        <f>IFERROR(C5-B5,"")</f>
        <v>66.400000000000006</v>
      </c>
    </row>
    <row r="6" spans="1:4" x14ac:dyDescent="0.35">
      <c r="A6" s="11" t="s">
        <v>197</v>
      </c>
      <c r="B6" s="41">
        <f>MIN(DCF!D40:F42)</f>
        <v>233.41881349353991</v>
      </c>
      <c r="C6" s="41">
        <f>MAX(DCF!D40:F42)</f>
        <v>345.23391391085715</v>
      </c>
      <c r="D6" s="41">
        <f>IFERROR(C6-B6,"")</f>
        <v>111.81510041731724</v>
      </c>
    </row>
    <row r="7" spans="1:4" x14ac:dyDescent="0.35">
      <c r="A7" s="11" t="s">
        <v>198</v>
      </c>
      <c r="B7" s="41" t="e">
        <f>(Peers!I8*Peers!B16-Inputs!$B$8-Inputs!$B$9)/Inputs!$B$7/Inputs!$B$6</f>
        <v>#VALUE!</v>
      </c>
      <c r="C7" s="41" t="e">
        <f>(Peers!I9*Peers!B16-Inputs!$B$8-Inputs!$B$9)/Inputs!$B$7/Inputs!$B$6</f>
        <v>#VALUE!</v>
      </c>
      <c r="D7" s="41" t="str">
        <f>IFERROR(C7-B7,"")</f>
        <v/>
      </c>
    </row>
    <row r="8" spans="1:4" x14ac:dyDescent="0.35">
      <c r="A8" s="11" t="s">
        <v>199</v>
      </c>
      <c r="B8" s="41" t="e">
        <f>(Peers!J8*Peers!B17-Inputs!$B$8-Inputs!$B$9)/Inputs!$B$7/Inputs!$B$6</f>
        <v>#VALUE!</v>
      </c>
      <c r="C8" s="41" t="e">
        <f>(Peers!J9*Peers!B17-Inputs!$B$8-Inputs!$B$9)/Inputs!$B$7/Inputs!$B$6</f>
        <v>#VALUE!</v>
      </c>
      <c r="D8" s="41" t="str">
        <f>IFERROR(C8-B8,"")</f>
        <v/>
      </c>
    </row>
    <row r="9" spans="1:4" x14ac:dyDescent="0.35">
      <c r="A9" s="11" t="s">
        <v>200</v>
      </c>
      <c r="B9" s="41" t="e">
        <f>Peers!K8*Peers!B18/Inputs!$B$6</f>
        <v>#VALUE!</v>
      </c>
      <c r="C9" s="41" t="e">
        <f>Peers!K9*Peers!B18/Inputs!$B$6</f>
        <v>#VALUE!</v>
      </c>
      <c r="D9" s="41" t="str">
        <f>IFERROR(C9-B9,"")</f>
        <v/>
      </c>
    </row>
    <row r="11" spans="1:4" x14ac:dyDescent="0.35">
      <c r="A11" s="11" t="s">
        <v>137</v>
      </c>
      <c r="B11" s="4">
        <f>Inputs!$B$5</f>
        <v>202</v>
      </c>
    </row>
    <row r="12" spans="1:4" x14ac:dyDescent="0.35">
      <c r="A12" s="11" t="s">
        <v>5</v>
      </c>
      <c r="B12" s="50">
        <f>DCF!$B$30</f>
        <v>295.5</v>
      </c>
    </row>
    <row r="13" spans="1:4" x14ac:dyDescent="0.35">
      <c r="A13" s="11" t="s">
        <v>8</v>
      </c>
      <c r="B13" s="51" t="str">
        <f>DCF!$B$33</f>
        <v>BUY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/>
  </sheetViews>
  <sheetFormatPr defaultRowHeight="14.5" x14ac:dyDescent="0.35"/>
  <cols>
    <col min="1" max="1" width="62" customWidth="1"/>
    <col min="2" max="2" width="12" customWidth="1"/>
    <col min="3" max="3" width="60" customWidth="1"/>
  </cols>
  <sheetData>
    <row r="1" spans="1:3" ht="18" x14ac:dyDescent="0.4">
      <c r="A1" s="1" t="s">
        <v>201</v>
      </c>
    </row>
    <row r="2" spans="1:3" x14ac:dyDescent="0.35">
      <c r="A2" s="2" t="s">
        <v>202</v>
      </c>
    </row>
    <row r="4" spans="1:3" x14ac:dyDescent="0.35">
      <c r="A4" s="13" t="s">
        <v>203</v>
      </c>
      <c r="B4" s="14" t="s">
        <v>204</v>
      </c>
      <c r="C4" s="13" t="s">
        <v>205</v>
      </c>
    </row>
    <row r="5" spans="1:3" x14ac:dyDescent="0.35">
      <c r="A5" s="11" t="s">
        <v>206</v>
      </c>
      <c r="B5" s="52" t="b">
        <f>WACC!$B$17&gt;Inputs!$B$11</f>
        <v>1</v>
      </c>
      <c r="C5" s="2" t="s">
        <v>207</v>
      </c>
    </row>
    <row r="6" spans="1:3" x14ac:dyDescent="0.35">
      <c r="A6" s="11" t="s">
        <v>208</v>
      </c>
      <c r="B6" s="52" t="b">
        <f>ABS(DCF!B16-(DCF!B10+DCF!B15))&lt;0.01</f>
        <v>1</v>
      </c>
      <c r="C6" s="2" t="s">
        <v>209</v>
      </c>
    </row>
    <row r="7" spans="1:3" x14ac:dyDescent="0.35">
      <c r="A7" s="11" t="s">
        <v>210</v>
      </c>
      <c r="B7" s="52" t="b">
        <f>ABS(DCF!B19-(DCF!B16-Inputs!$B$8-Inputs!$B$9))&lt;0.01</f>
        <v>1</v>
      </c>
      <c r="C7" s="2" t="s">
        <v>211</v>
      </c>
    </row>
    <row r="8" spans="1:3" x14ac:dyDescent="0.35">
      <c r="A8" s="11" t="s">
        <v>212</v>
      </c>
      <c r="B8" s="52" t="b">
        <f>ABS(DCF!E41-DCF!B21)&lt;0.01</f>
        <v>1</v>
      </c>
      <c r="C8" s="2" t="s">
        <v>213</v>
      </c>
    </row>
    <row r="9" spans="1:3" x14ac:dyDescent="0.35">
      <c r="A9" s="11" t="s">
        <v>214</v>
      </c>
      <c r="B9" s="52" t="b">
        <f>ABS(Scenarios!I6-DCF!B21)&lt;0.01</f>
        <v>1</v>
      </c>
      <c r="C9" s="2" t="s">
        <v>215</v>
      </c>
    </row>
    <row r="10" spans="1:3" x14ac:dyDescent="0.35">
      <c r="A10" s="11" t="s">
        <v>216</v>
      </c>
      <c r="B10" s="52" t="b">
        <f>Forecast!B6=Historicals!E5</f>
        <v>1</v>
      </c>
      <c r="C10" s="2" t="s">
        <v>217</v>
      </c>
    </row>
    <row r="11" spans="1:3" x14ac:dyDescent="0.35">
      <c r="A11" s="11" t="s">
        <v>218</v>
      </c>
      <c r="B11" s="52" t="b">
        <f>ABS(WACC!B15+WACC!B16-1)&lt;0.000001</f>
        <v>1</v>
      </c>
      <c r="C11" s="2" t="s">
        <v>219</v>
      </c>
    </row>
    <row r="12" spans="1:3" x14ac:dyDescent="0.35">
      <c r="A12" s="11" t="s">
        <v>220</v>
      </c>
      <c r="B12" s="52" t="b">
        <f>ABS(Scenarios!B8-1)&lt;0.000001</f>
        <v>1</v>
      </c>
      <c r="C12" s="2" t="s">
        <v>221</v>
      </c>
    </row>
    <row r="13" spans="1:3" x14ac:dyDescent="0.35">
      <c r="A13" s="11" t="s">
        <v>222</v>
      </c>
      <c r="B13" s="52" t="b">
        <f>AND(Inputs!$B$5&gt;0,Inputs!$B$7&gt;0,Inputs!$B$6&gt;0)</f>
        <v>1</v>
      </c>
      <c r="C13" s="2" t="s">
        <v>223</v>
      </c>
    </row>
    <row r="14" spans="1:3" x14ac:dyDescent="0.35">
      <c r="A14" s="11" t="s">
        <v>224</v>
      </c>
      <c r="B14" s="52" t="b">
        <f>DCF!B24&lt;0.85</f>
        <v>1</v>
      </c>
      <c r="C14" s="2" t="s">
        <v>225</v>
      </c>
    </row>
    <row r="15" spans="1:3" x14ac:dyDescent="0.35">
      <c r="A15" s="11" t="s">
        <v>226</v>
      </c>
      <c r="B15" s="52" t="b">
        <f>SUMPRODUCT(--ISERROR(Forecast!B5:I20))+SUMPRODUCT(--ISERROR(DCF!B5:G33))+SUMPRODUCT(--ISERROR(Scenarios!B5:J8))=0</f>
        <v>1</v>
      </c>
      <c r="C15" s="2" t="s">
        <v>227</v>
      </c>
    </row>
    <row r="17" spans="1:2" x14ac:dyDescent="0.35">
      <c r="A17" s="3" t="s">
        <v>228</v>
      </c>
      <c r="B17" s="53" t="str">
        <f>IF(AND(B5:B15),"ALL OK","CHECK")</f>
        <v>ALL 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Inputs</vt:lpstr>
      <vt:lpstr>Historicals</vt:lpstr>
      <vt:lpstr>Forecast</vt:lpstr>
      <vt:lpstr>WACC</vt:lpstr>
      <vt:lpstr>DCF</vt:lpstr>
      <vt:lpstr>Scenarios</vt:lpstr>
      <vt:lpstr>Peers</vt:lpstr>
      <vt:lpstr>Football field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Schjelderup</cp:lastModifiedBy>
  <dcterms:created xsi:type="dcterms:W3CDTF">2026-09-21T07:12:15Z</dcterms:created>
  <dcterms:modified xsi:type="dcterms:W3CDTF">2026-09-21T07:12:17Z</dcterms:modified>
</cp:coreProperties>
</file>