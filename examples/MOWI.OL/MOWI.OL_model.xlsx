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25ed27e3db279b7/Desktop/Private prosjekter/equity-research-engine/output/MOWI.OL/"/>
    </mc:Choice>
  </mc:AlternateContent>
  <xr:revisionPtr revIDLastSave="0" documentId="11_9CAF4A4084280CB92DFE46C05151BD6FDA161EC7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ver" sheetId="1" r:id="rId1"/>
    <sheet name="Inputs" sheetId="2" r:id="rId2"/>
    <sheet name="Historicals" sheetId="3" r:id="rId3"/>
    <sheet name="Forecast" sheetId="4" r:id="rId4"/>
    <sheet name="WACC" sheetId="5" r:id="rId5"/>
    <sheet name="DCF" sheetId="6" r:id="rId6"/>
    <sheet name="Scenarios" sheetId="7" r:id="rId7"/>
    <sheet name="Peers" sheetId="8" r:id="rId8"/>
    <sheet name="Football field" sheetId="9" r:id="rId9"/>
    <sheet name="Check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0" l="1"/>
  <c r="B11" i="9"/>
  <c r="D5" i="9"/>
  <c r="B34" i="8"/>
  <c r="B35" i="8" s="1"/>
  <c r="B36" i="8" s="1"/>
  <c r="G20" i="8"/>
  <c r="H20" i="8" s="1"/>
  <c r="E20" i="8"/>
  <c r="G17" i="8"/>
  <c r="H17" i="8" s="1"/>
  <c r="B17" i="8"/>
  <c r="B18" i="8" s="1"/>
  <c r="E19" i="8" s="1"/>
  <c r="U13" i="8"/>
  <c r="T13" i="8"/>
  <c r="S13" i="8"/>
  <c r="R13" i="8"/>
  <c r="Q13" i="8"/>
  <c r="P13" i="8"/>
  <c r="O13" i="8"/>
  <c r="N13" i="8"/>
  <c r="M13" i="8"/>
  <c r="L13" i="8"/>
  <c r="K13" i="8"/>
  <c r="C9" i="9" s="1"/>
  <c r="J13" i="8"/>
  <c r="C8" i="9" s="1"/>
  <c r="I13" i="8"/>
  <c r="C7" i="9" s="1"/>
  <c r="H13" i="8"/>
  <c r="G13" i="8"/>
  <c r="F13" i="8"/>
  <c r="U12" i="8"/>
  <c r="T12" i="8"/>
  <c r="S12" i="8"/>
  <c r="R12" i="8"/>
  <c r="Q12" i="8"/>
  <c r="P12" i="8"/>
  <c r="O12" i="8"/>
  <c r="N12" i="8"/>
  <c r="M12" i="8"/>
  <c r="L12" i="8"/>
  <c r="K12" i="8"/>
  <c r="B9" i="9" s="1"/>
  <c r="J12" i="8"/>
  <c r="B8" i="9" s="1"/>
  <c r="I12" i="8"/>
  <c r="B7" i="9" s="1"/>
  <c r="H12" i="8"/>
  <c r="G12" i="8"/>
  <c r="F12" i="8"/>
  <c r="U11" i="8"/>
  <c r="T11" i="8"/>
  <c r="S11" i="8"/>
  <c r="R11" i="8"/>
  <c r="Q11" i="8"/>
  <c r="P11" i="8"/>
  <c r="O11" i="8"/>
  <c r="N11" i="8"/>
  <c r="M11" i="8"/>
  <c r="L11" i="8"/>
  <c r="K11" i="8"/>
  <c r="F20" i="8" s="1"/>
  <c r="J11" i="8"/>
  <c r="G19" i="8" s="1"/>
  <c r="H19" i="8" s="1"/>
  <c r="I11" i="8"/>
  <c r="G18" i="8" s="1"/>
  <c r="H18" i="8" s="1"/>
  <c r="H11" i="8"/>
  <c r="F17" i="8" s="1"/>
  <c r="G11" i="8"/>
  <c r="F11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H45" i="7"/>
  <c r="G45" i="7"/>
  <c r="F45" i="7"/>
  <c r="E45" i="7"/>
  <c r="D45" i="7"/>
  <c r="C45" i="7"/>
  <c r="H43" i="7"/>
  <c r="G43" i="7"/>
  <c r="F43" i="7"/>
  <c r="E43" i="7"/>
  <c r="D43" i="7"/>
  <c r="C43" i="7"/>
  <c r="B42" i="7"/>
  <c r="H30" i="7"/>
  <c r="G30" i="7"/>
  <c r="F30" i="7"/>
  <c r="E30" i="7"/>
  <c r="D30" i="7"/>
  <c r="C30" i="7"/>
  <c r="H28" i="7"/>
  <c r="G28" i="7"/>
  <c r="F28" i="7"/>
  <c r="E28" i="7"/>
  <c r="D28" i="7"/>
  <c r="C28" i="7"/>
  <c r="B27" i="7"/>
  <c r="H15" i="7"/>
  <c r="G15" i="7"/>
  <c r="F15" i="7"/>
  <c r="E15" i="7"/>
  <c r="D15" i="7"/>
  <c r="C15" i="7"/>
  <c r="H13" i="7"/>
  <c r="G13" i="7"/>
  <c r="F13" i="7"/>
  <c r="E13" i="7"/>
  <c r="D13" i="7"/>
  <c r="C13" i="7"/>
  <c r="B12" i="7"/>
  <c r="B8" i="7"/>
  <c r="B12" i="10" s="1"/>
  <c r="H7" i="7"/>
  <c r="H6" i="7"/>
  <c r="H5" i="7"/>
  <c r="A44" i="6"/>
  <c r="A43" i="6"/>
  <c r="A42" i="6"/>
  <c r="A41" i="6"/>
  <c r="A40" i="6"/>
  <c r="A39" i="6"/>
  <c r="A38" i="6"/>
  <c r="B28" i="6"/>
  <c r="B22" i="6"/>
  <c r="B20" i="6"/>
  <c r="B18" i="6"/>
  <c r="B17" i="6"/>
  <c r="B11" i="6"/>
  <c r="G6" i="6"/>
  <c r="F6" i="6"/>
  <c r="E6" i="6"/>
  <c r="D6" i="6"/>
  <c r="C6" i="6"/>
  <c r="B6" i="6"/>
  <c r="B14" i="5"/>
  <c r="B13" i="5"/>
  <c r="B15" i="5" s="1"/>
  <c r="B11" i="5"/>
  <c r="B10" i="5"/>
  <c r="B12" i="5" s="1"/>
  <c r="B8" i="5"/>
  <c r="B7" i="5"/>
  <c r="B6" i="5"/>
  <c r="B5" i="5"/>
  <c r="B18" i="4"/>
  <c r="I17" i="4"/>
  <c r="H17" i="4"/>
  <c r="G17" i="4"/>
  <c r="F17" i="4"/>
  <c r="E17" i="4"/>
  <c r="D17" i="4"/>
  <c r="C17" i="4"/>
  <c r="B16" i="4"/>
  <c r="H15" i="4"/>
  <c r="I15" i="4" s="1"/>
  <c r="G15" i="4"/>
  <c r="F15" i="4"/>
  <c r="E15" i="4"/>
  <c r="D15" i="4"/>
  <c r="C15" i="4"/>
  <c r="H9" i="4"/>
  <c r="I9" i="4" s="1"/>
  <c r="G9" i="4"/>
  <c r="F9" i="4"/>
  <c r="E9" i="4"/>
  <c r="D9" i="4"/>
  <c r="C9" i="4"/>
  <c r="H7" i="4"/>
  <c r="I7" i="4" s="1"/>
  <c r="G7" i="4"/>
  <c r="F7" i="4"/>
  <c r="E7" i="4"/>
  <c r="D7" i="4"/>
  <c r="C7" i="4"/>
  <c r="B6" i="4"/>
  <c r="B29" i="7" s="1"/>
  <c r="C29" i="7" s="1"/>
  <c r="I5" i="4"/>
  <c r="H5" i="4"/>
  <c r="G5" i="4"/>
  <c r="F5" i="4"/>
  <c r="E5" i="4"/>
  <c r="D5" i="4"/>
  <c r="C5" i="4"/>
  <c r="E28" i="3"/>
  <c r="E13" i="3"/>
  <c r="B10" i="4" s="1"/>
  <c r="D13" i="3"/>
  <c r="C13" i="3"/>
  <c r="B13" i="3"/>
  <c r="B14" i="3" s="1"/>
  <c r="E10" i="3"/>
  <c r="E9" i="3"/>
  <c r="B8" i="4" s="1"/>
  <c r="D9" i="3"/>
  <c r="D10" i="3" s="1"/>
  <c r="C9" i="3"/>
  <c r="C10" i="3" s="1"/>
  <c r="B9" i="3"/>
  <c r="B10" i="3" s="1"/>
  <c r="E6" i="3"/>
  <c r="D6" i="3"/>
  <c r="C6" i="3"/>
  <c r="B13" i="1"/>
  <c r="B4" i="1"/>
  <c r="B17" i="3" l="1"/>
  <c r="B20" i="3" s="1"/>
  <c r="B21" i="3" s="1"/>
  <c r="B15" i="3"/>
  <c r="B16" i="5"/>
  <c r="C28" i="3"/>
  <c r="F18" i="8"/>
  <c r="B15" i="1" s="1"/>
  <c r="D28" i="3"/>
  <c r="C14" i="3"/>
  <c r="B44" i="7"/>
  <c r="C44" i="7" s="1"/>
  <c r="D9" i="9"/>
  <c r="B9" i="5"/>
  <c r="B27" i="6" s="1"/>
  <c r="B14" i="7"/>
  <c r="C14" i="7" s="1"/>
  <c r="B10" i="10"/>
  <c r="B7" i="4"/>
  <c r="C52" i="7"/>
  <c r="C46" i="7"/>
  <c r="C51" i="7"/>
  <c r="D44" i="7"/>
  <c r="C47" i="7"/>
  <c r="D29" i="7"/>
  <c r="C36" i="7"/>
  <c r="C32" i="7"/>
  <c r="C37" i="7"/>
  <c r="C31" i="7"/>
  <c r="D7" i="9"/>
  <c r="E14" i="3"/>
  <c r="D8" i="9"/>
  <c r="B11" i="10"/>
  <c r="C21" i="7"/>
  <c r="C6" i="4"/>
  <c r="E17" i="8"/>
  <c r="D14" i="3"/>
  <c r="B28" i="3"/>
  <c r="E18" i="8"/>
  <c r="B14" i="1" s="1"/>
  <c r="F19" i="8"/>
  <c r="C22" i="7" l="1"/>
  <c r="C16" i="7"/>
  <c r="C17" i="7"/>
  <c r="C18" i="7" s="1"/>
  <c r="D14" i="7"/>
  <c r="B17" i="5"/>
  <c r="F37" i="6" s="1"/>
  <c r="C33" i="7"/>
  <c r="C17" i="3"/>
  <c r="C20" i="3" s="1"/>
  <c r="C21" i="3" s="1"/>
  <c r="C15" i="3"/>
  <c r="C19" i="7"/>
  <c r="C20" i="7" s="1"/>
  <c r="C23" i="7" s="1"/>
  <c r="E29" i="7"/>
  <c r="D36" i="7"/>
  <c r="D37" i="7"/>
  <c r="D31" i="7"/>
  <c r="D32" i="7"/>
  <c r="C34" i="7"/>
  <c r="C35" i="7" s="1"/>
  <c r="C38" i="7" s="1"/>
  <c r="E17" i="3"/>
  <c r="E15" i="3"/>
  <c r="B11" i="4"/>
  <c r="D17" i="3"/>
  <c r="D20" i="3" s="1"/>
  <c r="D21" i="3" s="1"/>
  <c r="D15" i="3"/>
  <c r="C8" i="4"/>
  <c r="C10" i="4"/>
  <c r="C16" i="4"/>
  <c r="D6" i="4"/>
  <c r="D21" i="7"/>
  <c r="D17" i="7"/>
  <c r="E14" i="7"/>
  <c r="D22" i="7"/>
  <c r="D16" i="7"/>
  <c r="C18" i="4"/>
  <c r="D51" i="7"/>
  <c r="E44" i="7"/>
  <c r="D47" i="7"/>
  <c r="D52" i="7"/>
  <c r="D46" i="7"/>
  <c r="D48" i="7" s="1"/>
  <c r="C48" i="7"/>
  <c r="C7" i="6"/>
  <c r="E37" i="6"/>
  <c r="B37" i="6"/>
  <c r="B7" i="6"/>
  <c r="G7" i="7"/>
  <c r="D37" i="6"/>
  <c r="D7" i="6"/>
  <c r="C37" i="6"/>
  <c r="B5" i="10"/>
  <c r="G7" i="6"/>
  <c r="H37" i="6"/>
  <c r="G37" i="6"/>
  <c r="B12" i="6"/>
  <c r="G6" i="7"/>
  <c r="B12" i="1"/>
  <c r="E7" i="6" l="1"/>
  <c r="F7" i="6"/>
  <c r="C11" i="4"/>
  <c r="G5" i="7"/>
  <c r="D10" i="4"/>
  <c r="D16" i="4"/>
  <c r="D8" i="4"/>
  <c r="D11" i="4" s="1"/>
  <c r="D18" i="4"/>
  <c r="E6" i="4"/>
  <c r="D49" i="7"/>
  <c r="D50" i="7" s="1"/>
  <c r="D53" i="7" s="1"/>
  <c r="B14" i="4"/>
  <c r="E20" i="3"/>
  <c r="E51" i="7"/>
  <c r="E47" i="7"/>
  <c r="E52" i="7"/>
  <c r="E46" i="7"/>
  <c r="E48" i="7" s="1"/>
  <c r="F44" i="7"/>
  <c r="D33" i="7"/>
  <c r="C13" i="4"/>
  <c r="C14" i="4" s="1"/>
  <c r="C19" i="4" s="1"/>
  <c r="C12" i="4"/>
  <c r="C49" i="7"/>
  <c r="C50" i="7" s="1"/>
  <c r="C53" i="7" s="1"/>
  <c r="D18" i="7"/>
  <c r="E21" i="7"/>
  <c r="F14" i="7"/>
  <c r="E17" i="7"/>
  <c r="E22" i="7"/>
  <c r="E16" i="7"/>
  <c r="E18" i="7" s="1"/>
  <c r="F29" i="7"/>
  <c r="E32" i="7"/>
  <c r="E36" i="7"/>
  <c r="E31" i="7"/>
  <c r="E33" i="7" s="1"/>
  <c r="E37" i="7"/>
  <c r="E49" i="7" l="1"/>
  <c r="E50" i="7" s="1"/>
  <c r="E53" i="7" s="1"/>
  <c r="F36" i="7"/>
  <c r="G29" i="7"/>
  <c r="F32" i="7"/>
  <c r="F37" i="7"/>
  <c r="F31" i="7"/>
  <c r="B19" i="4"/>
  <c r="E21" i="3"/>
  <c r="C20" i="4"/>
  <c r="B5" i="6"/>
  <c r="E10" i="4"/>
  <c r="E16" i="4"/>
  <c r="E8" i="4"/>
  <c r="E11" i="4" s="1"/>
  <c r="E18" i="4"/>
  <c r="F6" i="4"/>
  <c r="D19" i="7"/>
  <c r="D20" i="7" s="1"/>
  <c r="D23" i="7" s="1"/>
  <c r="E34" i="7"/>
  <c r="E35" i="7" s="1"/>
  <c r="E38" i="7" s="1"/>
  <c r="D34" i="7"/>
  <c r="D35" i="7" s="1"/>
  <c r="D38" i="7" s="1"/>
  <c r="E19" i="7"/>
  <c r="E20" i="7" s="1"/>
  <c r="E23" i="7" s="1"/>
  <c r="D12" i="4"/>
  <c r="D13" i="4"/>
  <c r="D14" i="4" s="1"/>
  <c r="D19" i="4" s="1"/>
  <c r="G14" i="7"/>
  <c r="F17" i="7"/>
  <c r="F22" i="7"/>
  <c r="F16" i="7"/>
  <c r="F21" i="7"/>
  <c r="G44" i="7"/>
  <c r="F51" i="7"/>
  <c r="F52" i="7"/>
  <c r="F46" i="7"/>
  <c r="F47" i="7"/>
  <c r="F48" i="7" l="1"/>
  <c r="F49" i="7" s="1"/>
  <c r="F18" i="7"/>
  <c r="F33" i="7"/>
  <c r="C5" i="6"/>
  <c r="C8" i="6" s="1"/>
  <c r="D20" i="4"/>
  <c r="F10" i="4"/>
  <c r="F18" i="4"/>
  <c r="G6" i="4"/>
  <c r="F8" i="4"/>
  <c r="F11" i="4" s="1"/>
  <c r="F16" i="4"/>
  <c r="H44" i="7"/>
  <c r="G47" i="7"/>
  <c r="G51" i="7"/>
  <c r="G52" i="7"/>
  <c r="G46" i="7"/>
  <c r="G48" i="7" s="1"/>
  <c r="E12" i="4"/>
  <c r="E13" i="4"/>
  <c r="E14" i="4" s="1"/>
  <c r="E19" i="4" s="1"/>
  <c r="F19" i="7"/>
  <c r="F20" i="7" s="1"/>
  <c r="F23" i="7" s="1"/>
  <c r="B8" i="6"/>
  <c r="H14" i="7"/>
  <c r="G17" i="7"/>
  <c r="G22" i="7"/>
  <c r="G16" i="7"/>
  <c r="G21" i="7"/>
  <c r="F34" i="7"/>
  <c r="F35" i="7" s="1"/>
  <c r="F38" i="7" s="1"/>
  <c r="G36" i="7"/>
  <c r="H29" i="7"/>
  <c r="G32" i="7"/>
  <c r="G37" i="7"/>
  <c r="G31" i="7"/>
  <c r="G33" i="7" s="1"/>
  <c r="F50" i="7" l="1"/>
  <c r="F53" i="7" s="1"/>
  <c r="E20" i="4"/>
  <c r="D5" i="6"/>
  <c r="G34" i="7"/>
  <c r="G35" i="7" s="1"/>
  <c r="G38" i="7" s="1"/>
  <c r="F12" i="4"/>
  <c r="F13" i="4"/>
  <c r="F14" i="4" s="1"/>
  <c r="F19" i="4" s="1"/>
  <c r="G49" i="7"/>
  <c r="G50" i="7" s="1"/>
  <c r="G53" i="7" s="1"/>
  <c r="H51" i="7"/>
  <c r="H47" i="7"/>
  <c r="H52" i="7"/>
  <c r="H46" i="7"/>
  <c r="H48" i="7" s="1"/>
  <c r="H32" i="7"/>
  <c r="H37" i="7"/>
  <c r="H31" i="7"/>
  <c r="H33" i="7" s="1"/>
  <c r="H36" i="7"/>
  <c r="G18" i="4"/>
  <c r="H6" i="4"/>
  <c r="G10" i="4"/>
  <c r="G16" i="4"/>
  <c r="G8" i="4"/>
  <c r="G18" i="7"/>
  <c r="H17" i="7"/>
  <c r="H21" i="7"/>
  <c r="H22" i="7"/>
  <c r="H16" i="7"/>
  <c r="H18" i="7" s="1"/>
  <c r="G11" i="4" l="1"/>
  <c r="F20" i="4"/>
  <c r="E5" i="6"/>
  <c r="E8" i="6" s="1"/>
  <c r="D8" i="6"/>
  <c r="H34" i="7"/>
  <c r="H35" i="7" s="1"/>
  <c r="H38" i="7" s="1"/>
  <c r="B39" i="7" s="1"/>
  <c r="B40" i="7" s="1"/>
  <c r="I6" i="7" s="1"/>
  <c r="H49" i="7"/>
  <c r="H50" i="7" s="1"/>
  <c r="H53" i="7" s="1"/>
  <c r="B54" i="7" s="1"/>
  <c r="B55" i="7" s="1"/>
  <c r="I7" i="7" s="1"/>
  <c r="J7" i="7" s="1"/>
  <c r="G19" i="7"/>
  <c r="G20" i="7" s="1"/>
  <c r="G23" i="7" s="1"/>
  <c r="H19" i="7"/>
  <c r="H20" i="7" s="1"/>
  <c r="H23" i="7" s="1"/>
  <c r="B24" i="7" s="1"/>
  <c r="B25" i="7" s="1"/>
  <c r="I5" i="7" s="1"/>
  <c r="G12" i="4"/>
  <c r="G13" i="4"/>
  <c r="G14" i="4" s="1"/>
  <c r="G19" i="4" s="1"/>
  <c r="I6" i="4"/>
  <c r="H10" i="4"/>
  <c r="H16" i="4"/>
  <c r="H8" i="4"/>
  <c r="H11" i="4" s="1"/>
  <c r="H18" i="4"/>
  <c r="F5" i="6" l="1"/>
  <c r="G20" i="4"/>
  <c r="J6" i="7"/>
  <c r="I8" i="7"/>
  <c r="J5" i="7"/>
  <c r="H12" i="4"/>
  <c r="H13" i="4"/>
  <c r="H14" i="4" s="1"/>
  <c r="H19" i="4" s="1"/>
  <c r="I16" i="4"/>
  <c r="I8" i="4"/>
  <c r="I10" i="4"/>
  <c r="I18" i="4"/>
  <c r="G5" i="6" l="1"/>
  <c r="C42" i="6" s="1"/>
  <c r="H20" i="4"/>
  <c r="F8" i="6"/>
  <c r="H42" i="6"/>
  <c r="I11" i="4"/>
  <c r="B6" i="1"/>
  <c r="J8" i="7"/>
  <c r="F42" i="6" l="1"/>
  <c r="F38" i="6"/>
  <c r="C40" i="6"/>
  <c r="B41" i="6"/>
  <c r="F40" i="6"/>
  <c r="G39" i="6"/>
  <c r="E38" i="6"/>
  <c r="E41" i="6"/>
  <c r="C44" i="6"/>
  <c r="G41" i="6"/>
  <c r="H43" i="6"/>
  <c r="D42" i="6"/>
  <c r="H44" i="6"/>
  <c r="E42" i="6"/>
  <c r="B43" i="6"/>
  <c r="H40" i="6"/>
  <c r="C43" i="6"/>
  <c r="B39" i="6"/>
  <c r="F43" i="6"/>
  <c r="E43" i="6"/>
  <c r="I12" i="4"/>
  <c r="I13" i="4"/>
  <c r="I14" i="4" s="1"/>
  <c r="I19" i="4" s="1"/>
  <c r="I20" i="4" s="1"/>
  <c r="F41" i="6"/>
  <c r="F39" i="6"/>
  <c r="D41" i="6"/>
  <c r="B38" i="6"/>
  <c r="D40" i="6"/>
  <c r="D43" i="6"/>
  <c r="D38" i="6"/>
  <c r="B40" i="6"/>
  <c r="C41" i="6"/>
  <c r="G40" i="6"/>
  <c r="B44" i="6"/>
  <c r="D39" i="6"/>
  <c r="C38" i="6"/>
  <c r="G43" i="6"/>
  <c r="E39" i="6"/>
  <c r="B13" i="6"/>
  <c r="B14" i="6" s="1"/>
  <c r="G8" i="6"/>
  <c r="C39" i="6"/>
  <c r="H39" i="6"/>
  <c r="F44" i="6"/>
  <c r="G38" i="6"/>
  <c r="G42" i="6"/>
  <c r="B42" i="6"/>
  <c r="H38" i="6"/>
  <c r="E40" i="6"/>
  <c r="G44" i="6"/>
  <c r="H41" i="6"/>
  <c r="B10" i="6"/>
  <c r="E44" i="6"/>
  <c r="D44" i="6"/>
  <c r="C6" i="9" l="1"/>
  <c r="B6" i="9"/>
  <c r="B15" i="6"/>
  <c r="B16" i="6" s="1"/>
  <c r="B25" i="6"/>
  <c r="B24" i="6" l="1"/>
  <c r="B14" i="10" s="1"/>
  <c r="D6" i="9"/>
  <c r="B19" i="6"/>
  <c r="B6" i="10"/>
  <c r="B21" i="6" l="1"/>
  <c r="B7" i="10"/>
  <c r="B5" i="1" l="1"/>
  <c r="B26" i="6"/>
  <c r="B23" i="6"/>
  <c r="B9" i="10"/>
  <c r="B8" i="10"/>
  <c r="B29" i="6" l="1"/>
  <c r="B30" i="6" s="1"/>
  <c r="B7" i="1" l="1"/>
  <c r="B32" i="6"/>
  <c r="B31" i="6"/>
  <c r="B8" i="1" s="1"/>
  <c r="B12" i="9"/>
  <c r="B9" i="1" l="1"/>
  <c r="B33" i="6"/>
  <c r="B13" i="9" l="1"/>
  <c r="B10" i="1"/>
  <c r="B15" i="10"/>
  <c r="B17" i="10" s="1"/>
  <c r="B11" i="1" s="1"/>
</calcChain>
</file>

<file path=xl/sharedStrings.xml><?xml version="1.0" encoding="utf-8"?>
<sst xmlns="http://schemas.openxmlformats.org/spreadsheetml/2006/main" count="398" uniqueCount="270">
  <si>
    <t>Mowi ASA (MOWI.OL) – valuation model</t>
  </si>
  <si>
    <t>Generated by Equity Research Engine on 2026-09-23</t>
  </si>
  <si>
    <t>Share price (NOK)</t>
  </si>
  <si>
    <t>DCF fair value per share (NOK)</t>
  </si>
  <si>
    <t>Probability-weighted scenario value (NOK)</t>
  </si>
  <si>
    <t>Target price (NOK)</t>
  </si>
  <si>
    <t>Upside to target price</t>
  </si>
  <si>
    <t>Expected total return</t>
  </si>
  <si>
    <t>Rating</t>
  </si>
  <si>
    <t>Model checks</t>
  </si>
  <si>
    <t>WACC</t>
  </si>
  <si>
    <t>Terminal growth</t>
  </si>
  <si>
    <t>EV/EBITDA (LTM)</t>
  </si>
  <si>
    <t>Peer median EV/EBITDA</t>
  </si>
  <si>
    <t>Legend</t>
  </si>
  <si>
    <t>Blue text = hard-coded input (edit these)</t>
  </si>
  <si>
    <t>Black text = formula</t>
  </si>
  <si>
    <t>Green text = link to another sheet</t>
  </si>
  <si>
    <t>Yellow fill = key assumption</t>
  </si>
  <si>
    <t>Sheets: Inputs -&gt; Historicals -&gt; Forecast -&gt; WACC -&gt; DCF -&gt; Peers -&gt; Football field</t>
  </si>
  <si>
    <t>Lease treatment: operating. Sources: Company reports, Yahoo Finance, Equity Research Engine estimates</t>
  </si>
  <si>
    <t>Accounts in EUR; share price and per-share values in NOK (FX 0.0923 EUR per NOK on the Inputs sheet).</t>
  </si>
  <si>
    <t>Mowi ASA – model inputs</t>
  </si>
  <si>
    <t>All figures in EURm unless stated. Blue = input, black = formula, green = link.</t>
  </si>
  <si>
    <t>Market data</t>
  </si>
  <si>
    <t>Value</t>
  </si>
  <si>
    <t>Source / note</t>
  </si>
  <si>
    <t>Yahoo Finance close</t>
  </si>
  <si>
    <t>FX: EUR per NOK</t>
  </si>
  <si>
    <t>Spot rate; per-share values are shown in the listing currency</t>
  </si>
  <si>
    <t>Shares outstanding (m)</t>
  </si>
  <si>
    <t>Yahoo Finance</t>
  </si>
  <si>
    <t>Net debt</t>
  </si>
  <si>
    <t>Balance sheet 30.06.2026 (ex leases)</t>
  </si>
  <si>
    <t>Minority interest</t>
  </si>
  <si>
    <t>Balance sheet 30.06.2026</t>
  </si>
  <si>
    <t>Tax rate</t>
  </si>
  <si>
    <t>config</t>
  </si>
  <si>
    <t>Config</t>
  </si>
  <si>
    <t>Risk-free rate</t>
  </si>
  <si>
    <t>Equity risk premium</t>
  </si>
  <si>
    <t>Beta (adjusted)</t>
  </si>
  <si>
    <t>3y weekly regression vs OSEBX (n=156, R2=0.15), Blume-adjusted</t>
  </si>
  <si>
    <t>Size premium</t>
  </si>
  <si>
    <t>size premium 0.00% (market cap USD 10.8bn)</t>
  </si>
  <si>
    <t>Cost of debt (pre-tax)</t>
  </si>
  <si>
    <t>interest expense / average debt</t>
  </si>
  <si>
    <t>Gross debt for WACC weights</t>
  </si>
  <si>
    <t>Latest balance sheet</t>
  </si>
  <si>
    <t>Mid-year convention (1 = yes)</t>
  </si>
  <si>
    <t>Years from FY-end to valuation date</t>
  </si>
  <si>
    <t>Valuation date 23.09.2026; last fiscal year-end 31.12.2025</t>
  </si>
  <si>
    <t>Years from FY-end to balance sheet</t>
  </si>
  <si>
    <t>Net debt as at 30.06.2026: year-1 cash flow before that date is already in net debt</t>
  </si>
  <si>
    <t>Terminal method (1 = value driver)</t>
  </si>
  <si>
    <t>0 = Gordon growth on FCF; 1 = NOPAT x (1 - g/RONIC) / (WACC - g)</t>
  </si>
  <si>
    <t>RONIC (value driver only)</t>
  </si>
  <si>
    <t>Return on new invested capital</t>
  </si>
  <si>
    <t>Expected dividend per share (NOK)</t>
  </si>
  <si>
    <t>Indicated annual dividend (Yahoo Finance)</t>
  </si>
  <si>
    <t>Roll-forward months</t>
  </si>
  <si>
    <t>12 = twelve-month target price; 0 = fair value today</t>
  </si>
  <si>
    <t>Target price rounding</t>
  </si>
  <si>
    <t>Weight on DCF in fair value</t>
  </si>
  <si>
    <t>1 = pure DCF (tp_method: dcf); below 1 blends in the peer-multiple value</t>
  </si>
  <si>
    <t>Peer-multiple value per share (NOK)</t>
  </si>
  <si>
    <t>Median of the multiple-implied values (engine)</t>
  </si>
  <si>
    <t>BUY threshold (total return)</t>
  </si>
  <si>
    <t>SELL threshold (total return)</t>
  </si>
  <si>
    <t>Forecast drivers</t>
  </si>
  <si>
    <t>2026E</t>
  </si>
  <si>
    <t>2027E</t>
  </si>
  <si>
    <t>2028E</t>
  </si>
  <si>
    <t>2029E</t>
  </si>
  <si>
    <t>2030E</t>
  </si>
  <si>
    <t>2031E</t>
  </si>
  <si>
    <t>Revenue growth</t>
  </si>
  <si>
    <t>EBITDA margin</t>
  </si>
  <si>
    <t>D&amp;A % of revenue</t>
  </si>
  <si>
    <t>Capex % of revenue</t>
  </si>
  <si>
    <t>Net working capital % of revenue</t>
  </si>
  <si>
    <t>Notes: Revenue growth anchored on consensus (9 analysts), fading linearly to 2.0% terminal growth. EBITDA margin held near the 3-year average of 20.1%. Net working capital held at 49.5% of revenue (3-year average from the balance sheet). Capex normalises from 6.9% to 4.3% of revenue (D&amp;A x 1.05) by 2031E.</t>
  </si>
  <si>
    <t>Lease treatment: operating (lease rate 4.50%). Growth anchor: consensus (9 analysts).</t>
  </si>
  <si>
    <t>Mowi ASA – historical financials (EURm)</t>
  </si>
  <si>
    <t>Source: company reports via Yahoo Finance; lease adjustments per methodology.</t>
  </si>
  <si>
    <t>EURm</t>
  </si>
  <si>
    <t>2022A</t>
  </si>
  <si>
    <t>2023A</t>
  </si>
  <si>
    <t>2024A</t>
  </si>
  <si>
    <t>2025A</t>
  </si>
  <si>
    <t>Revenue</t>
  </si>
  <si>
    <t>Growth</t>
  </si>
  <si>
    <t>EBITDA (reported)</t>
  </si>
  <si>
    <t>Lease cost (rent)</t>
  </si>
  <si>
    <t>EBITDA</t>
  </si>
  <si>
    <t>D&amp;A (reported)</t>
  </si>
  <si>
    <t>Right-of-use depreciation</t>
  </si>
  <si>
    <t>D&amp;A</t>
  </si>
  <si>
    <t>EBIT</t>
  </si>
  <si>
    <t>EBIT margin</t>
  </si>
  <si>
    <t>Tax rate (effective, used)</t>
  </si>
  <si>
    <t>NOPAT</t>
  </si>
  <si>
    <t>Capex</t>
  </si>
  <si>
    <t>Change in NWC</t>
  </si>
  <si>
    <t>Unlevered FCF</t>
  </si>
  <si>
    <t>FCF margin</t>
  </si>
  <si>
    <t>Net income</t>
  </si>
  <si>
    <t>Diluted EPS</t>
  </si>
  <si>
    <t>Cash</t>
  </si>
  <si>
    <t>Total debt (incl. leases)</t>
  </si>
  <si>
    <t>Lease liabilities</t>
  </si>
  <si>
    <t>Net debt (model basis)</t>
  </si>
  <si>
    <t>Net debt / EBITDA</t>
  </si>
  <si>
    <t>Interest expense (ex leases)</t>
  </si>
  <si>
    <t>Mowi ASA – forecast (EURm)</t>
  </si>
  <si>
    <t>Formulas reference the Inputs sheet; last actual year is linked from Historicals.</t>
  </si>
  <si>
    <t>Terminal</t>
  </si>
  <si>
    <t>Tax</t>
  </si>
  <si>
    <t>Cost of capital</t>
  </si>
  <si>
    <t>CAPM cost of equity, after-tax cost of debt, market-value weights.</t>
  </si>
  <si>
    <t>Component</t>
  </si>
  <si>
    <t>Cost of equity</t>
  </si>
  <si>
    <t>Cost of debt (after tax)</t>
  </si>
  <si>
    <t>Equity value (market cap)</t>
  </si>
  <si>
    <t>Debt value</t>
  </si>
  <si>
    <t>Weight of equity</t>
  </si>
  <si>
    <t>Weight of debt</t>
  </si>
  <si>
    <t>Cross-check: bottom-up beta from the peer group (Hamada, tax at the corporate rate)</t>
  </si>
  <si>
    <t>Median unlevered peer beta</t>
  </si>
  <si>
    <t>Relevered at the target's D/E of 0.31</t>
  </si>
  <si>
    <t>Blume-adjusted (compare with B6)</t>
  </si>
  <si>
    <t>Peers with a usable beta</t>
  </si>
  <si>
    <t>Mowi ASA – DCF valuation (EURm)</t>
  </si>
  <si>
    <t>Unlevered FCF discounted at WACC; Gordon growth terminal value.</t>
  </si>
  <si>
    <t>Year</t>
  </si>
  <si>
    <t>Discount period (years from valuation date)</t>
  </si>
  <si>
    <t>Discount factor</t>
  </si>
  <si>
    <t>PV of FCF (year 1: after the balance-sheet date)</t>
  </si>
  <si>
    <t>Sum of PV of FCF</t>
  </si>
  <si>
    <t>Terminal cash flow (year N+1)</t>
  </si>
  <si>
    <t>Terminal value</t>
  </si>
  <si>
    <t>PV of terminal value</t>
  </si>
  <si>
    <t>Enterprise value</t>
  </si>
  <si>
    <t>Less: net debt</t>
  </si>
  <si>
    <t>Less: minority interest</t>
  </si>
  <si>
    <t>Equity value</t>
  </si>
  <si>
    <t>Fair value per share, DCF (NOK)</t>
  </si>
  <si>
    <t>Current share price (NOK)</t>
  </si>
  <si>
    <t>Upside / (downside) to fair value</t>
  </si>
  <si>
    <t>Terminal value as % of EV</t>
  </si>
  <si>
    <t>Implied exit EV/EBITDA</t>
  </si>
  <si>
    <t>Fair value used for the target price</t>
  </si>
  <si>
    <t>Target price before rounding</t>
  </si>
  <si>
    <t>Expected total return (incl. dividend)</t>
  </si>
  <si>
    <t>Sensitivity: value per share (rows = terminal growth, columns = WACC)</t>
  </si>
  <si>
    <t>g \ WACC</t>
  </si>
  <si>
    <t>Scenario analysis</t>
  </si>
  <si>
    <t>Shifts are additive to the base case (Inputs sheet). Edit the blue cells; every scenario re-runs the full forecast.</t>
  </si>
  <si>
    <t>Scenario</t>
  </si>
  <si>
    <t>Probability</t>
  </si>
  <si>
    <t>Growth shift</t>
  </si>
  <si>
    <t>Margin shift</t>
  </si>
  <si>
    <t>WACC shift</t>
  </si>
  <si>
    <t>Terminal g shift</t>
  </si>
  <si>
    <t>Value per share (NOK)</t>
  </si>
  <si>
    <t>vs price</t>
  </si>
  <si>
    <t>Bear</t>
  </si>
  <si>
    <t>Base</t>
  </si>
  <si>
    <t>Bull</t>
  </si>
  <si>
    <t>Probability-weighted</t>
  </si>
  <si>
    <t>Bear case (EURm)</t>
  </si>
  <si>
    <t>Base case (EURm)</t>
  </si>
  <si>
    <t>Bull case (EURm)</t>
  </si>
  <si>
    <t>Peer multiples</t>
  </si>
  <si>
    <t>LTM figures where the quarters are reported (else the last fiscal year); EV = market cap today + latest net debt, same lease basis as the target company; P/E on trailing twelve-month EPS.</t>
  </si>
  <si>
    <t>Company</t>
  </si>
  <si>
    <t>Ticker</t>
  </si>
  <si>
    <t>Group</t>
  </si>
  <si>
    <t>Market cap (EURm)</t>
  </si>
  <si>
    <t>EV (EURm)</t>
  </si>
  <si>
    <t>Rev. growth</t>
  </si>
  <si>
    <t>EV/Sales</t>
  </si>
  <si>
    <t>EV/EBITDA</t>
  </si>
  <si>
    <t>EV/EBIT</t>
  </si>
  <si>
    <t>P/E</t>
  </si>
  <si>
    <t>P/E (NTM)</t>
  </si>
  <si>
    <t>EV/Sales (NTM)</t>
  </si>
  <si>
    <t>EV/EBITDA (NTM*)</t>
  </si>
  <si>
    <t>P/E (FY0)</t>
  </si>
  <si>
    <t>P/E (FY1)</t>
  </si>
  <si>
    <t>Growth FY1</t>
  </si>
  <si>
    <t>EPS growth</t>
  </si>
  <si>
    <t>PEG</t>
  </si>
  <si>
    <t>FCF yield</t>
  </si>
  <si>
    <t>Div. yield</t>
  </si>
  <si>
    <t>SalMar</t>
  </si>
  <si>
    <t>SALM.OL</t>
  </si>
  <si>
    <t>Salmon farming</t>
  </si>
  <si>
    <t>Lerøy Seafood</t>
  </si>
  <si>
    <t>LSG.OL</t>
  </si>
  <si>
    <t>Bakkafrost</t>
  </si>
  <si>
    <t>BAKKA.OL</t>
  </si>
  <si>
    <t>Grieg Seafood</t>
  </si>
  <si>
    <t>GSF.OL</t>
  </si>
  <si>
    <t>Average</t>
  </si>
  <si>
    <t>Median</t>
  </si>
  <si>
    <t>25th percentile</t>
  </si>
  <si>
    <t>75th percentile</t>
  </si>
  <si>
    <t>Mowi – current multiples and implied value</t>
  </si>
  <si>
    <t>Multiple</t>
  </si>
  <si>
    <t>Mowi</t>
  </si>
  <si>
    <t>Peer median</t>
  </si>
  <si>
    <t>Implied value/share (NOK)</t>
  </si>
  <si>
    <t>Market cap</t>
  </si>
  <si>
    <t>Revenue (LTM Jun 2026)</t>
  </si>
  <si>
    <t>EBITDA (LTM Jun 2026)</t>
  </si>
  <si>
    <t>EBIT (LTM Jun 2026)</t>
  </si>
  <si>
    <t>EPS, trailing 12 months (EUR)</t>
  </si>
  <si>
    <t>Income figures: sum of the four quarters to Jun 2026. Net debt: balance sheet 30.06.2026. EPS: Yahoo Finance trailing twelve months, the same basis as the peers' P/E. * EV/EBITDA (NTM) = EV over NTM consensus revenue at the LTM margin (no EBITDA consensus on Yahoo).</t>
  </si>
  <si>
    <t>EV/EBITDA regression on the peers above (engine OLS with an intercept; coefficients are inputs, the fitted value is live)</t>
  </si>
  <si>
    <t>Intercept</t>
  </si>
  <si>
    <t>Coefficient: expected revenue growth</t>
  </si>
  <si>
    <t>Coefficient: EBITDA margin</t>
  </si>
  <si>
    <t>R²</t>
  </si>
  <si>
    <t>Residual standard deviation (x)</t>
  </si>
  <si>
    <t>Peers in the regression</t>
  </si>
  <si>
    <t>Mowi expected revenue growth</t>
  </si>
  <si>
    <t>Mowi EBITDA margin (LTM)</t>
  </si>
  <si>
    <t>Fitted EV/EBITDA</t>
  </si>
  <si>
    <t>R² 0.01: below 0.15, so the fit is reported but not used as a valuation anchor</t>
  </si>
  <si>
    <t>Regression-implied value per share (NOK)</t>
  </si>
  <si>
    <t>Valuation summary</t>
  </si>
  <si>
    <t>Ranges feed the football-field chart; DCF range = inner 3x3 of the sensitivity grid.</t>
  </si>
  <si>
    <t>Method</t>
  </si>
  <si>
    <t>Low</t>
  </si>
  <si>
    <t>High</t>
  </si>
  <si>
    <t>Range</t>
  </si>
  <si>
    <t>52-week range</t>
  </si>
  <si>
    <t>DCF (WACC ±0.5%, g ±0.25%)</t>
  </si>
  <si>
    <t>EV/EBITDA (peer 25th–75th pct)</t>
  </si>
  <si>
    <t>EV/EBIT (peer 25th–75th pct)</t>
  </si>
  <si>
    <t>P/E (peer 25th–75th pct)</t>
  </si>
  <si>
    <t>Model integrity checks</t>
  </si>
  <si>
    <t>Every check must read TRUE. A FALSE means an input or formula has been broken.</t>
  </si>
  <si>
    <t>Check</t>
  </si>
  <si>
    <t>Result</t>
  </si>
  <si>
    <t>What it protects against</t>
  </si>
  <si>
    <t>WACC exceeds terminal growth</t>
  </si>
  <si>
    <t>A perpetuity needs WACC &gt; g</t>
  </si>
  <si>
    <t>Enterprise value = PV of FCF + PV of terminal value</t>
  </si>
  <si>
    <t>Broken bridge formulas</t>
  </si>
  <si>
    <t>Equity value = EV - net debt - minorities</t>
  </si>
  <si>
    <t>Sign errors in the bridge</t>
  </si>
  <si>
    <t>Sensitivity centre equals the DCF fair value</t>
  </si>
  <si>
    <t>Sensitivity grid out of sync with the model</t>
  </si>
  <si>
    <t>Base scenario reproduces the DCF fair value</t>
  </si>
  <si>
    <t>Scenario blocks drifting from the forecast</t>
  </si>
  <si>
    <t>Forecast starts from the last reported revenue</t>
  </si>
  <si>
    <t>Stale links</t>
  </si>
  <si>
    <t>Capital structure weights sum to 100%</t>
  </si>
  <si>
    <t>WACC weights</t>
  </si>
  <si>
    <t>Scenario probabilities sum to 100%</t>
  </si>
  <si>
    <t>Probability-weighted value</t>
  </si>
  <si>
    <t>Share price, shares and FX are positive</t>
  </si>
  <si>
    <t>Missing market data</t>
  </si>
  <si>
    <t>Terminal value below 85% of enterprise value</t>
  </si>
  <si>
    <t>Valuation resting almost entirely on the perpetuity</t>
  </si>
  <si>
    <t>No error values in Forecast, DCF or Scenarios</t>
  </si>
  <si>
    <t>#REF!, #DIV/0! and friends</t>
  </si>
  <si>
    <t>Overall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</si>
</sst>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;&quot;-&quot;"/>
    <numFmt numFmtId="165" formatCode="0.0000"/>
    <numFmt numFmtId="166" formatCode="#,##0.0;\(#,##0.0\);&quot;-&quot;"/>
    <numFmt numFmtId="167" formatCode="#,##0;\(#,##0\);&quot;-&quot;"/>
    <numFmt numFmtId="168" formatCode="0.0%"/>
    <numFmt numFmtId="169" formatCode="0.000"/>
    <numFmt numFmtId="170" formatCode="0.0&quot;x&quot;"/>
  </numFmts>
  <fonts count="12" x14ac:knownFonts="1">
    <font>
      <sz val="11"/>
      <color theme="1"/>
      <name val="Calibri"/>
      <family val="2"/>
      <scheme val="minor"/>
    </font>
    <font>
      <b/>
      <sz val="14"/>
      <color rgb="FF003255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color rgb="FF0000FF"/>
      <name val="Arial"/>
    </font>
    <font>
      <b/>
      <sz val="9"/>
      <color rgb="FF000000"/>
      <name val="Arial"/>
    </font>
    <font>
      <i/>
      <sz val="9"/>
      <color rgb="FF000000"/>
      <name val="Arial"/>
    </font>
    <font>
      <sz val="9"/>
      <color rgb="FF008000"/>
      <name val="Arial"/>
    </font>
    <font>
      <i/>
      <sz val="9"/>
      <color rgb="FF008000"/>
      <name val="Arial"/>
    </font>
    <font>
      <b/>
      <sz val="9"/>
      <color rgb="FF003255"/>
      <name val="Arial"/>
    </font>
    <font>
      <b/>
      <sz val="9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3255"/>
      </patternFill>
    </fill>
    <fill>
      <patternFill patternType="solid">
        <fgColor rgb="FFFFFF00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164" fontId="8" fillId="0" borderId="0" xfId="0" applyNumberFormat="1" applyFont="1"/>
    <xf numFmtId="168" fontId="8" fillId="0" borderId="0" xfId="0" applyNumberFormat="1" applyFont="1"/>
    <xf numFmtId="0" fontId="8" fillId="0" borderId="0" xfId="0" applyFont="1"/>
    <xf numFmtId="10" fontId="8" fillId="0" borderId="0" xfId="0" applyNumberFormat="1" applyFont="1"/>
    <xf numFmtId="170" fontId="8" fillId="0" borderId="0" xfId="0" applyNumberFormat="1" applyFont="1"/>
    <xf numFmtId="0" fontId="10" fillId="0" borderId="0" xfId="0" applyFont="1"/>
    <xf numFmtId="0" fontId="5" fillId="0" borderId="0" xfId="0" applyFont="1"/>
    <xf numFmtId="0" fontId="4" fillId="0" borderId="0" xfId="0" applyFont="1"/>
    <xf numFmtId="0" fontId="4" fillId="3" borderId="0" xfId="0" applyFont="1" applyFill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5" fillId="3" borderId="0" xfId="0" applyNumberFormat="1" applyFont="1" applyFill="1"/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8" fontId="5" fillId="0" borderId="0" xfId="0" applyNumberFormat="1" applyFont="1"/>
    <xf numFmtId="10" fontId="5" fillId="3" borderId="0" xfId="0" applyNumberFormat="1" applyFont="1" applyFill="1"/>
    <xf numFmtId="10" fontId="5" fillId="0" borderId="0" xfId="0" applyNumberFormat="1" applyFont="1"/>
    <xf numFmtId="1" fontId="5" fillId="0" borderId="0" xfId="0" applyNumberFormat="1" applyFont="1"/>
    <xf numFmtId="169" fontId="5" fillId="0" borderId="0" xfId="0" applyNumberFormat="1" applyFont="1"/>
    <xf numFmtId="164" fontId="5" fillId="0" borderId="0" xfId="0" applyNumberFormat="1" applyFont="1"/>
    <xf numFmtId="168" fontId="5" fillId="3" borderId="0" xfId="0" applyNumberFormat="1" applyFont="1" applyFill="1"/>
    <xf numFmtId="0" fontId="7" fillId="0" borderId="0" xfId="0" applyFont="1"/>
    <xf numFmtId="168" fontId="7" fillId="0" borderId="0" xfId="0" applyNumberFormat="1" applyFont="1"/>
    <xf numFmtId="167" fontId="6" fillId="0" borderId="0" xfId="0" applyNumberFormat="1" applyFont="1"/>
    <xf numFmtId="167" fontId="4" fillId="0" borderId="0" xfId="0" applyNumberFormat="1" applyFont="1"/>
    <xf numFmtId="170" fontId="4" fillId="0" borderId="0" xfId="0" applyNumberFormat="1" applyFont="1"/>
    <xf numFmtId="168" fontId="9" fillId="0" borderId="0" xfId="0" applyNumberFormat="1" applyFont="1"/>
    <xf numFmtId="167" fontId="8" fillId="0" borderId="0" xfId="0" applyNumberFormat="1" applyFont="1"/>
    <xf numFmtId="10" fontId="6" fillId="0" borderId="0" xfId="0" applyNumberFormat="1" applyFont="1"/>
    <xf numFmtId="10" fontId="4" fillId="0" borderId="0" xfId="0" applyNumberFormat="1" applyFont="1"/>
    <xf numFmtId="168" fontId="4" fillId="0" borderId="0" xfId="0" applyNumberFormat="1" applyFont="1"/>
    <xf numFmtId="167" fontId="11" fillId="0" borderId="0" xfId="0" applyNumberFormat="1" applyFont="1"/>
    <xf numFmtId="169" fontId="4" fillId="0" borderId="0" xfId="0" applyNumberFormat="1" applyFont="1"/>
    <xf numFmtId="166" fontId="8" fillId="0" borderId="0" xfId="0" applyNumberFormat="1" applyFont="1"/>
    <xf numFmtId="164" fontId="6" fillId="3" borderId="0" xfId="0" applyNumberFormat="1" applyFont="1" applyFill="1"/>
    <xf numFmtId="168" fontId="6" fillId="0" borderId="0" xfId="0" applyNumberFormat="1" applyFont="1"/>
    <xf numFmtId="164" fontId="4" fillId="0" borderId="0" xfId="0" applyNumberFormat="1" applyFont="1"/>
    <xf numFmtId="10" fontId="6" fillId="4" borderId="0" xfId="0" applyNumberFormat="1" applyFont="1" applyFill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6" fillId="3" borderId="0" xfId="0" applyNumberFormat="1" applyFont="1" applyFill="1" applyAlignment="1">
      <alignment horizontal="center" vertical="center"/>
    </xf>
    <xf numFmtId="164" fontId="6" fillId="0" borderId="0" xfId="0" applyNumberFormat="1" applyFont="1"/>
    <xf numFmtId="0" fontId="11" fillId="0" borderId="0" xfId="0" applyFont="1" applyAlignment="1">
      <alignment horizontal="center" vertical="center"/>
    </xf>
    <xf numFmtId="170" fontId="5" fillId="0" borderId="0" xfId="0" applyNumberFormat="1" applyFont="1"/>
    <xf numFmtId="168" fontId="6" fillId="0" borderId="1" xfId="0" applyNumberFormat="1" applyFont="1" applyBorder="1"/>
    <xf numFmtId="170" fontId="6" fillId="0" borderId="1" xfId="0" applyNumberFormat="1" applyFont="1" applyBorder="1"/>
    <xf numFmtId="164" fontId="6" fillId="0" borderId="1" xfId="0" applyNumberFormat="1" applyFont="1" applyBorder="1"/>
    <xf numFmtId="170" fontId="6" fillId="0" borderId="0" xfId="0" applyNumberFormat="1" applyFont="1"/>
    <xf numFmtId="164" fontId="8" fillId="3" borderId="0" xfId="0" applyNumberFormat="1" applyFont="1" applyFill="1"/>
    <xf numFmtId="0" fontId="11" fillId="0" borderId="0" xfId="0" applyFont="1"/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Football field (value per share)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'Football field'!$B$4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'Football field'!$A$5:$A$9</c:f>
              <c:strCache>
                <c:ptCount val="5"/>
                <c:pt idx="0">
                  <c:v>52-week range</c:v>
                </c:pt>
                <c:pt idx="1">
                  <c:v>DCF (WACC ±0.5%, g ±0.25%)</c:v>
                </c:pt>
                <c:pt idx="2">
                  <c:v>EV/EBITDA (peer 25th–75th pct)</c:v>
                </c:pt>
                <c:pt idx="3">
                  <c:v>EV/EBIT (peer 25th–75th pct)</c:v>
                </c:pt>
                <c:pt idx="4">
                  <c:v>P/E (peer 25th–75th pct)</c:v>
                </c:pt>
              </c:strCache>
            </c:strRef>
          </c:cat>
          <c:val>
            <c:numRef>
              <c:f>'Football field'!$B$5:$B$9</c:f>
              <c:numCache>
                <c:formatCode>#,##0.00;\(#,##0.00\);"-"</c:formatCode>
                <c:ptCount val="5"/>
                <c:pt idx="0">
                  <c:v>179.4</c:v>
                </c:pt>
                <c:pt idx="1">
                  <c:v>244.54910260192798</c:v>
                </c:pt>
                <c:pt idx="2">
                  <c:v>192.47605534322159</c:v>
                </c:pt>
                <c:pt idx="3">
                  <c:v>272.16261119944591</c:v>
                </c:pt>
                <c:pt idx="4">
                  <c:v>359.97693775000005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8-42FC-81F8-436FEBF628EE}"/>
            </c:ext>
          </c:extLst>
        </c:ser>
        <c:ser>
          <c:idx val="1"/>
          <c:order val="1"/>
          <c:tx>
            <c:strRef>
              <c:f>'Football field'!$D$4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003255"/>
            </a:solidFill>
            <a:ln>
              <a:prstDash val="solid"/>
            </a:ln>
          </c:spPr>
          <c:invertIfNegative val="1"/>
          <c:cat>
            <c:strRef>
              <c:f>'Football field'!$A$5:$A$9</c:f>
              <c:strCache>
                <c:ptCount val="5"/>
                <c:pt idx="0">
                  <c:v>52-week range</c:v>
                </c:pt>
                <c:pt idx="1">
                  <c:v>DCF (WACC ±0.5%, g ±0.25%)</c:v>
                </c:pt>
                <c:pt idx="2">
                  <c:v>EV/EBITDA (peer 25th–75th pct)</c:v>
                </c:pt>
                <c:pt idx="3">
                  <c:v>EV/EBIT (peer 25th–75th pct)</c:v>
                </c:pt>
                <c:pt idx="4">
                  <c:v>P/E (peer 25th–75th pct)</c:v>
                </c:pt>
              </c:strCache>
            </c:strRef>
          </c:cat>
          <c:val>
            <c:numRef>
              <c:f>'Football field'!$D$5:$D$9</c:f>
              <c:numCache>
                <c:formatCode>#,##0.00;\(#,##0.00\);"-"</c:formatCode>
                <c:ptCount val="5"/>
                <c:pt idx="0">
                  <c:v>66.400000000000006</c:v>
                </c:pt>
                <c:pt idx="1">
                  <c:v>116.80726449922031</c:v>
                </c:pt>
                <c:pt idx="2">
                  <c:v>60.205966436365259</c:v>
                </c:pt>
                <c:pt idx="3">
                  <c:v>72.318607610093977</c:v>
                </c:pt>
                <c:pt idx="4">
                  <c:v>86.55911621000007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2E8-42FC-81F8-436FEBF62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0;\(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/>
  </sheetViews>
  <sheetFormatPr defaultRowHeight="14.5" x14ac:dyDescent="0.35"/>
  <cols>
    <col min="1" max="1" width="30" customWidth="1"/>
    <col min="2" max="2" width="18" customWidth="1"/>
    <col min="3" max="3" width="60" customWidth="1"/>
  </cols>
  <sheetData>
    <row r="1" spans="1:2" ht="18" x14ac:dyDescent="0.4">
      <c r="A1" s="1" t="s">
        <v>0</v>
      </c>
    </row>
    <row r="2" spans="1:2" x14ac:dyDescent="0.35">
      <c r="A2" s="2" t="s">
        <v>1</v>
      </c>
    </row>
    <row r="4" spans="1:2" x14ac:dyDescent="0.35">
      <c r="A4" s="3" t="s">
        <v>2</v>
      </c>
      <c r="B4" s="4">
        <f>Inputs!$B$5</f>
        <v>193.7</v>
      </c>
    </row>
    <row r="5" spans="1:2" x14ac:dyDescent="0.35">
      <c r="A5" s="3" t="s">
        <v>3</v>
      </c>
      <c r="B5" s="4">
        <f>DCF!B21</f>
        <v>293.47403164064281</v>
      </c>
    </row>
    <row r="6" spans="1:2" x14ac:dyDescent="0.35">
      <c r="A6" s="3" t="s">
        <v>4</v>
      </c>
      <c r="B6" s="4">
        <f>Scenarios!$I$8</f>
        <v>303.68369590824642</v>
      </c>
    </row>
    <row r="7" spans="1:2" x14ac:dyDescent="0.35">
      <c r="A7" s="3" t="s">
        <v>5</v>
      </c>
      <c r="B7" s="4">
        <f>DCF!B30</f>
        <v>308.5</v>
      </c>
    </row>
    <row r="8" spans="1:2" x14ac:dyDescent="0.35">
      <c r="A8" s="3" t="s">
        <v>6</v>
      </c>
      <c r="B8" s="5">
        <f>DCF!B31</f>
        <v>0.5926690758905524</v>
      </c>
    </row>
    <row r="9" spans="1:2" x14ac:dyDescent="0.35">
      <c r="A9" s="3" t="s">
        <v>7</v>
      </c>
      <c r="B9" s="5">
        <f>DCF!B32</f>
        <v>0.6319050077439341</v>
      </c>
    </row>
    <row r="10" spans="1:2" x14ac:dyDescent="0.35">
      <c r="A10" s="3" t="s">
        <v>8</v>
      </c>
      <c r="B10" s="6" t="str">
        <f>DCF!B33</f>
        <v>BUY</v>
      </c>
    </row>
    <row r="11" spans="1:2" x14ac:dyDescent="0.35">
      <c r="A11" s="3" t="s">
        <v>9</v>
      </c>
      <c r="B11" s="6" t="str">
        <f>Checks!$B$17</f>
        <v>ALL OK</v>
      </c>
    </row>
    <row r="12" spans="1:2" x14ac:dyDescent="0.35">
      <c r="A12" s="3" t="s">
        <v>10</v>
      </c>
      <c r="B12" s="7">
        <f>WACC!$B$17</f>
        <v>6.613495681286724E-2</v>
      </c>
    </row>
    <row r="13" spans="1:2" x14ac:dyDescent="0.35">
      <c r="A13" s="3" t="s">
        <v>11</v>
      </c>
      <c r="B13" s="7">
        <f>Inputs!$B$11</f>
        <v>0.02</v>
      </c>
    </row>
    <row r="14" spans="1:2" x14ac:dyDescent="0.35">
      <c r="A14" s="3" t="s">
        <v>12</v>
      </c>
      <c r="B14" s="8">
        <f>Peers!E18</f>
        <v>10.378799994485339</v>
      </c>
    </row>
    <row r="15" spans="1:2" x14ac:dyDescent="0.35">
      <c r="A15" s="3" t="s">
        <v>13</v>
      </c>
      <c r="B15" s="8">
        <f>Peers!F18</f>
        <v>11.249228819226559</v>
      </c>
    </row>
    <row r="18" spans="1:1" x14ac:dyDescent="0.35">
      <c r="A18" s="9" t="s">
        <v>14</v>
      </c>
    </row>
    <row r="19" spans="1:1" x14ac:dyDescent="0.35">
      <c r="A19" s="10" t="s">
        <v>15</v>
      </c>
    </row>
    <row r="20" spans="1:1" x14ac:dyDescent="0.35">
      <c r="A20" s="11" t="s">
        <v>16</v>
      </c>
    </row>
    <row r="21" spans="1:1" x14ac:dyDescent="0.35">
      <c r="A21" s="6" t="s">
        <v>17</v>
      </c>
    </row>
    <row r="22" spans="1:1" x14ac:dyDescent="0.35">
      <c r="A22" s="12" t="s">
        <v>18</v>
      </c>
    </row>
    <row r="24" spans="1:1" x14ac:dyDescent="0.35">
      <c r="A24" s="2" t="s">
        <v>19</v>
      </c>
    </row>
    <row r="25" spans="1:1" x14ac:dyDescent="0.35">
      <c r="A25" s="2" t="s">
        <v>20</v>
      </c>
    </row>
    <row r="26" spans="1:1" x14ac:dyDescent="0.35">
      <c r="A26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4" customWidth="1"/>
    <col min="2" max="9" width="14" customWidth="1"/>
  </cols>
  <sheetData>
    <row r="1" spans="1:3" ht="18" x14ac:dyDescent="0.4">
      <c r="A1" s="1" t="s">
        <v>22</v>
      </c>
    </row>
    <row r="2" spans="1:3" x14ac:dyDescent="0.35">
      <c r="A2" s="2" t="s">
        <v>23</v>
      </c>
    </row>
    <row r="4" spans="1:3" x14ac:dyDescent="0.35">
      <c r="A4" s="13" t="s">
        <v>24</v>
      </c>
      <c r="B4" s="14" t="s">
        <v>25</v>
      </c>
      <c r="C4" s="13" t="s">
        <v>26</v>
      </c>
    </row>
    <row r="5" spans="1:3" x14ac:dyDescent="0.35">
      <c r="A5" s="11" t="s">
        <v>2</v>
      </c>
      <c r="B5" s="15">
        <v>193.7</v>
      </c>
      <c r="C5" s="2" t="s">
        <v>27</v>
      </c>
    </row>
    <row r="6" spans="1:3" x14ac:dyDescent="0.35">
      <c r="A6" s="11" t="s">
        <v>28</v>
      </c>
      <c r="B6" s="16">
        <v>9.2289999127388E-2</v>
      </c>
      <c r="C6" s="2" t="s">
        <v>29</v>
      </c>
    </row>
    <row r="7" spans="1:3" x14ac:dyDescent="0.35">
      <c r="A7" s="11" t="s">
        <v>30</v>
      </c>
      <c r="B7" s="17">
        <v>527.29059600000005</v>
      </c>
      <c r="C7" s="2" t="s">
        <v>31</v>
      </c>
    </row>
    <row r="8" spans="1:3" x14ac:dyDescent="0.35">
      <c r="A8" s="11" t="s">
        <v>32</v>
      </c>
      <c r="B8" s="18">
        <v>2826.4</v>
      </c>
      <c r="C8" s="2" t="s">
        <v>33</v>
      </c>
    </row>
    <row r="9" spans="1:3" x14ac:dyDescent="0.35">
      <c r="A9" s="11" t="s">
        <v>34</v>
      </c>
      <c r="B9" s="18">
        <v>192.1</v>
      </c>
      <c r="C9" s="2" t="s">
        <v>35</v>
      </c>
    </row>
    <row r="10" spans="1:3" x14ac:dyDescent="0.35">
      <c r="A10" s="11" t="s">
        <v>36</v>
      </c>
      <c r="B10" s="19">
        <v>0.22</v>
      </c>
      <c r="C10" s="2" t="s">
        <v>37</v>
      </c>
    </row>
    <row r="11" spans="1:3" x14ac:dyDescent="0.35">
      <c r="A11" s="11" t="s">
        <v>11</v>
      </c>
      <c r="B11" s="20">
        <v>0.02</v>
      </c>
      <c r="C11" s="2" t="s">
        <v>38</v>
      </c>
    </row>
    <row r="12" spans="1:3" x14ac:dyDescent="0.35">
      <c r="A12" s="11" t="s">
        <v>39</v>
      </c>
      <c r="B12" s="21">
        <v>3.7999999999999999E-2</v>
      </c>
      <c r="C12" s="2" t="s">
        <v>38</v>
      </c>
    </row>
    <row r="13" spans="1:3" x14ac:dyDescent="0.35">
      <c r="A13" s="11" t="s">
        <v>40</v>
      </c>
      <c r="B13" s="21">
        <v>0.05</v>
      </c>
      <c r="C13" s="2" t="s">
        <v>38</v>
      </c>
    </row>
    <row r="14" spans="1:3" x14ac:dyDescent="0.35">
      <c r="A14" s="11" t="s">
        <v>41</v>
      </c>
      <c r="B14" s="15">
        <v>0.77175877744762234</v>
      </c>
      <c r="C14" s="2" t="s">
        <v>42</v>
      </c>
    </row>
    <row r="15" spans="1:3" x14ac:dyDescent="0.35">
      <c r="A15" s="11" t="s">
        <v>43</v>
      </c>
      <c r="B15" s="21">
        <v>0</v>
      </c>
      <c r="C15" s="2" t="s">
        <v>44</v>
      </c>
    </row>
    <row r="16" spans="1:3" x14ac:dyDescent="0.35">
      <c r="A16" s="11" t="s">
        <v>45</v>
      </c>
      <c r="B16" s="21">
        <v>4.1821650677809817E-2</v>
      </c>
      <c r="C16" s="2" t="s">
        <v>46</v>
      </c>
    </row>
    <row r="17" spans="1:7" x14ac:dyDescent="0.35">
      <c r="A17" s="11" t="s">
        <v>47</v>
      </c>
      <c r="B17" s="18">
        <v>2940</v>
      </c>
      <c r="C17" s="2" t="s">
        <v>48</v>
      </c>
    </row>
    <row r="18" spans="1:7" x14ac:dyDescent="0.35">
      <c r="A18" s="11" t="s">
        <v>49</v>
      </c>
      <c r="B18" s="22">
        <v>0</v>
      </c>
      <c r="C18" s="2" t="s">
        <v>38</v>
      </c>
    </row>
    <row r="19" spans="1:7" x14ac:dyDescent="0.35">
      <c r="A19" s="11" t="s">
        <v>50</v>
      </c>
      <c r="B19" s="23">
        <v>0.72826830937713893</v>
      </c>
      <c r="C19" s="2" t="s">
        <v>51</v>
      </c>
    </row>
    <row r="20" spans="1:7" x14ac:dyDescent="0.35">
      <c r="A20" s="11" t="s">
        <v>52</v>
      </c>
      <c r="B20" s="23">
        <v>0.49555099247091028</v>
      </c>
      <c r="C20" s="2" t="s">
        <v>53</v>
      </c>
    </row>
    <row r="21" spans="1:7" x14ac:dyDescent="0.35">
      <c r="A21" s="11" t="s">
        <v>54</v>
      </c>
      <c r="B21" s="22">
        <v>0</v>
      </c>
      <c r="C21" s="2" t="s">
        <v>55</v>
      </c>
    </row>
    <row r="22" spans="1:7" x14ac:dyDescent="0.35">
      <c r="A22" s="11" t="s">
        <v>56</v>
      </c>
      <c r="B22" s="21">
        <v>8.6134956812867244E-2</v>
      </c>
      <c r="C22" s="2" t="s">
        <v>57</v>
      </c>
    </row>
    <row r="23" spans="1:7" x14ac:dyDescent="0.35">
      <c r="A23" s="11" t="s">
        <v>58</v>
      </c>
      <c r="B23" s="24">
        <v>7.6</v>
      </c>
      <c r="C23" s="2" t="s">
        <v>59</v>
      </c>
    </row>
    <row r="24" spans="1:7" x14ac:dyDescent="0.35">
      <c r="A24" s="11" t="s">
        <v>60</v>
      </c>
      <c r="B24" s="22">
        <v>12</v>
      </c>
      <c r="C24" s="2" t="s">
        <v>61</v>
      </c>
    </row>
    <row r="25" spans="1:7" x14ac:dyDescent="0.35">
      <c r="A25" s="11" t="s">
        <v>62</v>
      </c>
      <c r="B25" s="24">
        <v>0.5</v>
      </c>
      <c r="C25" s="2" t="s">
        <v>38</v>
      </c>
    </row>
    <row r="26" spans="1:7" x14ac:dyDescent="0.35">
      <c r="A26" s="11" t="s">
        <v>63</v>
      </c>
      <c r="B26" s="19">
        <v>1</v>
      </c>
      <c r="C26" s="2" t="s">
        <v>64</v>
      </c>
    </row>
    <row r="27" spans="1:7" x14ac:dyDescent="0.35">
      <c r="A27" s="11" t="s">
        <v>65</v>
      </c>
      <c r="B27" s="24">
        <v>203.3477184011852</v>
      </c>
      <c r="C27" s="2" t="s">
        <v>66</v>
      </c>
    </row>
    <row r="28" spans="1:7" x14ac:dyDescent="0.35">
      <c r="A28" s="11" t="s">
        <v>67</v>
      </c>
      <c r="B28" s="19">
        <v>0.15</v>
      </c>
      <c r="C28" s="2" t="s">
        <v>38</v>
      </c>
    </row>
    <row r="29" spans="1:7" x14ac:dyDescent="0.35">
      <c r="A29" s="11" t="s">
        <v>68</v>
      </c>
      <c r="B29" s="19">
        <v>-0.1</v>
      </c>
      <c r="C29" s="2" t="s">
        <v>38</v>
      </c>
    </row>
    <row r="32" spans="1:7" x14ac:dyDescent="0.35">
      <c r="A32" s="13" t="s">
        <v>69</v>
      </c>
      <c r="B32" s="14" t="s">
        <v>70</v>
      </c>
      <c r="C32" s="14" t="s">
        <v>71</v>
      </c>
      <c r="D32" s="14" t="s">
        <v>72</v>
      </c>
      <c r="E32" s="14" t="s">
        <v>73</v>
      </c>
      <c r="F32" s="14" t="s">
        <v>74</v>
      </c>
      <c r="G32" s="14" t="s">
        <v>75</v>
      </c>
    </row>
    <row r="33" spans="1:7" x14ac:dyDescent="0.35">
      <c r="A33" s="11" t="s">
        <v>76</v>
      </c>
      <c r="B33" s="25">
        <v>0.1163</v>
      </c>
      <c r="C33" s="25">
        <v>7.6100000000000001E-2</v>
      </c>
      <c r="D33" s="25">
        <v>6.2075000000000012E-2</v>
      </c>
      <c r="E33" s="25">
        <v>4.8050000000000002E-2</v>
      </c>
      <c r="F33" s="25">
        <v>3.4025E-2</v>
      </c>
      <c r="G33" s="25">
        <v>0.02</v>
      </c>
    </row>
    <row r="34" spans="1:7" x14ac:dyDescent="0.35">
      <c r="A34" s="11" t="s">
        <v>77</v>
      </c>
      <c r="B34" s="25">
        <v>0.20777620198107291</v>
      </c>
      <c r="C34" s="25">
        <v>0.20647322066895049</v>
      </c>
      <c r="D34" s="25">
        <v>0.20517023935682821</v>
      </c>
      <c r="E34" s="25">
        <v>0.20386725804470579</v>
      </c>
      <c r="F34" s="25">
        <v>0.2025642767325834</v>
      </c>
      <c r="G34" s="25">
        <v>0.20126129542046101</v>
      </c>
    </row>
    <row r="35" spans="1:7" x14ac:dyDescent="0.35">
      <c r="A35" s="11" t="s">
        <v>78</v>
      </c>
      <c r="B35" s="25">
        <v>4.0873530285875308E-2</v>
      </c>
      <c r="C35" s="25">
        <v>4.0873530285875308E-2</v>
      </c>
      <c r="D35" s="25">
        <v>4.0873530285875308E-2</v>
      </c>
      <c r="E35" s="25">
        <v>4.0873530285875308E-2</v>
      </c>
      <c r="F35" s="25">
        <v>4.0873530285875308E-2</v>
      </c>
      <c r="G35" s="25">
        <v>4.0873530285875308E-2</v>
      </c>
    </row>
    <row r="36" spans="1:7" x14ac:dyDescent="0.35">
      <c r="A36" s="11" t="s">
        <v>79</v>
      </c>
      <c r="B36" s="25">
        <v>6.8565279573521307E-2</v>
      </c>
      <c r="C36" s="25">
        <v>6.3435665018850868E-2</v>
      </c>
      <c r="D36" s="25">
        <v>5.8306050464180408E-2</v>
      </c>
      <c r="E36" s="25">
        <v>5.3176435909509968E-2</v>
      </c>
      <c r="F36" s="25">
        <v>4.8046821354839522E-2</v>
      </c>
      <c r="G36" s="25">
        <v>4.2917206800169083E-2</v>
      </c>
    </row>
    <row r="37" spans="1:7" x14ac:dyDescent="0.35">
      <c r="A37" s="11" t="s">
        <v>80</v>
      </c>
      <c r="B37" s="25">
        <v>0.49520563523441158</v>
      </c>
      <c r="C37" s="25">
        <v>0.49520563523441158</v>
      </c>
      <c r="D37" s="25">
        <v>0.49520563523441158</v>
      </c>
      <c r="E37" s="25">
        <v>0.49520563523441158</v>
      </c>
      <c r="F37" s="25">
        <v>0.49520563523441158</v>
      </c>
      <c r="G37" s="25">
        <v>0.49520563523441158</v>
      </c>
    </row>
    <row r="39" spans="1:7" x14ac:dyDescent="0.35">
      <c r="A39" s="2" t="s">
        <v>81</v>
      </c>
    </row>
    <row r="40" spans="1:7" x14ac:dyDescent="0.35">
      <c r="A40" s="2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4" customWidth="1"/>
    <col min="2" max="5" width="12" customWidth="1"/>
  </cols>
  <sheetData>
    <row r="1" spans="1:5" ht="18" x14ac:dyDescent="0.4">
      <c r="A1" s="1" t="s">
        <v>83</v>
      </c>
    </row>
    <row r="2" spans="1:5" x14ac:dyDescent="0.35">
      <c r="A2" s="2" t="s">
        <v>84</v>
      </c>
    </row>
    <row r="4" spans="1:5" x14ac:dyDescent="0.35">
      <c r="A4" s="13" t="s">
        <v>85</v>
      </c>
      <c r="B4" s="14" t="s">
        <v>86</v>
      </c>
      <c r="C4" s="14" t="s">
        <v>87</v>
      </c>
      <c r="D4" s="14" t="s">
        <v>88</v>
      </c>
      <c r="E4" s="14" t="s">
        <v>89</v>
      </c>
    </row>
    <row r="5" spans="1:5" x14ac:dyDescent="0.35">
      <c r="A5" s="3" t="s">
        <v>90</v>
      </c>
      <c r="B5" s="18">
        <v>4907.3</v>
      </c>
      <c r="C5" s="18">
        <v>5478.3</v>
      </c>
      <c r="D5" s="18">
        <v>5566.4</v>
      </c>
      <c r="E5" s="18">
        <v>5688.7</v>
      </c>
    </row>
    <row r="6" spans="1:5" x14ac:dyDescent="0.35">
      <c r="A6" s="26" t="s">
        <v>91</v>
      </c>
      <c r="B6" s="27"/>
      <c r="C6" s="27">
        <f>IF(B5=0,"",C5/B5-1)</f>
        <v>0.11635726366841226</v>
      </c>
      <c r="D6" s="27">
        <f>IF(C5=0,"",D5/C5-1)</f>
        <v>1.6081631162951915E-2</v>
      </c>
      <c r="E6" s="27">
        <f>IF(D5=0,"",E5/D5-1)</f>
        <v>2.1971112388617486E-2</v>
      </c>
    </row>
    <row r="7" spans="1:5" x14ac:dyDescent="0.35">
      <c r="A7" s="11" t="s">
        <v>92</v>
      </c>
      <c r="B7" s="18">
        <v>1440.1</v>
      </c>
      <c r="C7" s="18">
        <v>1415.6</v>
      </c>
      <c r="D7" s="18">
        <v>1223</v>
      </c>
      <c r="E7" s="18">
        <v>1416.4</v>
      </c>
    </row>
    <row r="8" spans="1:5" x14ac:dyDescent="0.35">
      <c r="A8" s="11" t="s">
        <v>93</v>
      </c>
      <c r="B8" s="18">
        <v>220.43049999999991</v>
      </c>
      <c r="C8" s="18">
        <v>217.27574999999999</v>
      </c>
      <c r="D8" s="18">
        <v>243.51099999999991</v>
      </c>
      <c r="E8" s="18">
        <v>227.01124999999999</v>
      </c>
    </row>
    <row r="9" spans="1:5" x14ac:dyDescent="0.35">
      <c r="A9" s="3" t="s">
        <v>94</v>
      </c>
      <c r="B9" s="28">
        <f>B7-B8</f>
        <v>1219.6695</v>
      </c>
      <c r="C9" s="28">
        <f>C7-C8</f>
        <v>1198.3242499999999</v>
      </c>
      <c r="D9" s="28">
        <f>D7-D8</f>
        <v>979.48900000000003</v>
      </c>
      <c r="E9" s="28">
        <f>E7-E8</f>
        <v>1189.3887500000001</v>
      </c>
    </row>
    <row r="10" spans="1:5" x14ac:dyDescent="0.35">
      <c r="A10" s="26" t="s">
        <v>77</v>
      </c>
      <c r="B10" s="27">
        <f>IF(B5=0,"",B9/B5)</f>
        <v>0.24854186619933566</v>
      </c>
      <c r="C10" s="27">
        <f>IF(C5=0,"",C9/C5)</f>
        <v>0.21874016574484784</v>
      </c>
      <c r="D10" s="27">
        <f>IF(D5=0,"",D9/D5)</f>
        <v>0.17596453722334005</v>
      </c>
      <c r="E10" s="27">
        <f>IF(E5=0,"",E9/E5)</f>
        <v>0.2090791832931953</v>
      </c>
    </row>
    <row r="11" spans="1:5" x14ac:dyDescent="0.35">
      <c r="A11" s="11" t="s">
        <v>95</v>
      </c>
      <c r="B11" s="18">
        <v>386.6</v>
      </c>
      <c r="C11" s="18">
        <v>403.8</v>
      </c>
      <c r="D11" s="18">
        <v>447.8</v>
      </c>
      <c r="E11" s="18">
        <v>454</v>
      </c>
    </row>
    <row r="12" spans="1:5" x14ac:dyDescent="0.35">
      <c r="A12" s="11" t="s">
        <v>96</v>
      </c>
      <c r="B12" s="18">
        <v>199.59999999999991</v>
      </c>
      <c r="C12" s="18">
        <v>196.2</v>
      </c>
      <c r="D12" s="18">
        <v>221.1999999999999</v>
      </c>
      <c r="E12" s="18">
        <v>203.6</v>
      </c>
    </row>
    <row r="13" spans="1:5" x14ac:dyDescent="0.35">
      <c r="A13" s="11" t="s">
        <v>97</v>
      </c>
      <c r="B13" s="29">
        <f>MAX(B11-B12,0)</f>
        <v>187.00000000000011</v>
      </c>
      <c r="C13" s="29">
        <f>MAX(C11-C12,0)</f>
        <v>207.60000000000002</v>
      </c>
      <c r="D13" s="29">
        <f>MAX(D11-D12,0)</f>
        <v>226.60000000000011</v>
      </c>
      <c r="E13" s="29">
        <f>MAX(E11-E12,0)</f>
        <v>250.4</v>
      </c>
    </row>
    <row r="14" spans="1:5" x14ac:dyDescent="0.35">
      <c r="A14" s="3" t="s">
        <v>98</v>
      </c>
      <c r="B14" s="28">
        <f>B9-B13</f>
        <v>1032.6695</v>
      </c>
      <c r="C14" s="28">
        <f>C9-C13</f>
        <v>990.72424999999987</v>
      </c>
      <c r="D14" s="28">
        <f>D9-D13</f>
        <v>752.8889999999999</v>
      </c>
      <c r="E14" s="28">
        <f>E9-E13</f>
        <v>938.9887500000001</v>
      </c>
    </row>
    <row r="15" spans="1:5" x14ac:dyDescent="0.35">
      <c r="A15" s="26" t="s">
        <v>99</v>
      </c>
      <c r="B15" s="27">
        <f>IF(B5=0,"",B14/B5)</f>
        <v>0.210435371793043</v>
      </c>
      <c r="C15" s="27">
        <f>IF(C5=0,"",C14/C5)</f>
        <v>0.18084519832794843</v>
      </c>
      <c r="D15" s="27">
        <f>IF(D5=0,"",D14/D5)</f>
        <v>0.13525600028743892</v>
      </c>
      <c r="E15" s="27">
        <f>IF(E5=0,"",E14/E5)</f>
        <v>0.16506209678836994</v>
      </c>
    </row>
    <row r="16" spans="1:5" x14ac:dyDescent="0.35">
      <c r="A16" s="26" t="s">
        <v>100</v>
      </c>
      <c r="B16" s="19">
        <v>0.21530622439804181</v>
      </c>
      <c r="C16" s="19">
        <v>0.51096027595415594</v>
      </c>
      <c r="D16" s="19">
        <v>0.24837739433275291</v>
      </c>
      <c r="E16" s="19">
        <v>0.1511292647765497</v>
      </c>
    </row>
    <row r="17" spans="1:5" x14ac:dyDescent="0.35">
      <c r="A17" s="3" t="s">
        <v>101</v>
      </c>
      <c r="B17" s="28">
        <f>B14*(1-B16)</f>
        <v>810.32932890398638</v>
      </c>
      <c r="C17" s="28">
        <f>C14*(1-C16)</f>
        <v>484.50351382552577</v>
      </c>
      <c r="D17" s="28">
        <f>D14*(1-D16)</f>
        <v>565.88839195820788</v>
      </c>
      <c r="E17" s="28">
        <f>E14*(1-E16)</f>
        <v>797.08007057904865</v>
      </c>
    </row>
    <row r="18" spans="1:5" x14ac:dyDescent="0.35">
      <c r="A18" s="11" t="s">
        <v>102</v>
      </c>
      <c r="B18" s="18">
        <v>-335.2</v>
      </c>
      <c r="C18" s="18">
        <v>-396.3</v>
      </c>
      <c r="D18" s="18">
        <v>-374.2</v>
      </c>
      <c r="E18" s="18">
        <v>-376.2</v>
      </c>
    </row>
    <row r="19" spans="1:5" x14ac:dyDescent="0.35">
      <c r="A19" s="11" t="s">
        <v>103</v>
      </c>
      <c r="B19" s="18">
        <v>-491.4</v>
      </c>
      <c r="C19" s="18">
        <v>-173.5</v>
      </c>
      <c r="D19" s="18">
        <v>-44.2</v>
      </c>
      <c r="E19" s="18">
        <v>-37.5</v>
      </c>
    </row>
    <row r="20" spans="1:5" x14ac:dyDescent="0.35">
      <c r="A20" s="3" t="s">
        <v>104</v>
      </c>
      <c r="B20" s="28">
        <f>B17+B13+B18+B19</f>
        <v>170.72932890398658</v>
      </c>
      <c r="C20" s="28">
        <f>C17+C13+C18+C19</f>
        <v>122.30351382552584</v>
      </c>
      <c r="D20" s="28">
        <f>D17+D13+D18+D19</f>
        <v>374.08839195820804</v>
      </c>
      <c r="E20" s="28">
        <f>E17+E13+E18+E19</f>
        <v>633.7800705790487</v>
      </c>
    </row>
    <row r="21" spans="1:5" x14ac:dyDescent="0.35">
      <c r="A21" s="26" t="s">
        <v>105</v>
      </c>
      <c r="B21" s="27">
        <f>IF(B5=0,"",B20/B5)</f>
        <v>3.4790888860266662E-2</v>
      </c>
      <c r="C21" s="27">
        <f>IF(C5=0,"",C20/C5)</f>
        <v>2.2325085122305431E-2</v>
      </c>
      <c r="D21" s="27">
        <f>IF(D5=0,"",D20/D5)</f>
        <v>6.7204726925518835E-2</v>
      </c>
      <c r="E21" s="27">
        <f>IF(E5=0,"",E20/E5)</f>
        <v>0.1114103522033239</v>
      </c>
    </row>
    <row r="22" spans="1:5" x14ac:dyDescent="0.35">
      <c r="A22" s="11" t="s">
        <v>106</v>
      </c>
      <c r="B22" s="18">
        <v>782.4</v>
      </c>
      <c r="C22" s="18">
        <v>444.4</v>
      </c>
      <c r="D22" s="18">
        <v>468.5</v>
      </c>
      <c r="E22" s="18">
        <v>717.9</v>
      </c>
    </row>
    <row r="23" spans="1:5" x14ac:dyDescent="0.35">
      <c r="A23" s="11" t="s">
        <v>107</v>
      </c>
      <c r="B23" s="24">
        <v>1.51</v>
      </c>
      <c r="C23" s="24">
        <v>0.86</v>
      </c>
      <c r="D23" s="24">
        <v>0.91</v>
      </c>
      <c r="E23" s="24">
        <v>1.38</v>
      </c>
    </row>
    <row r="24" spans="1:5" x14ac:dyDescent="0.35">
      <c r="A24" s="11" t="s">
        <v>108</v>
      </c>
      <c r="B24" s="18">
        <v>170.9</v>
      </c>
      <c r="C24" s="18">
        <v>288.39999999999998</v>
      </c>
      <c r="D24" s="18">
        <v>276.7</v>
      </c>
      <c r="E24" s="18">
        <v>278</v>
      </c>
    </row>
    <row r="25" spans="1:5" x14ac:dyDescent="0.35">
      <c r="A25" s="11" t="s">
        <v>109</v>
      </c>
      <c r="B25" s="18">
        <v>2400.3000000000002</v>
      </c>
      <c r="C25" s="18">
        <v>2566.9</v>
      </c>
      <c r="D25" s="18">
        <v>2675.1</v>
      </c>
      <c r="E25" s="18">
        <v>3462.7</v>
      </c>
    </row>
    <row r="26" spans="1:5" x14ac:dyDescent="0.35">
      <c r="A26" s="11" t="s">
        <v>110</v>
      </c>
      <c r="B26" s="18">
        <v>462.9</v>
      </c>
      <c r="C26" s="18">
        <v>473.8</v>
      </c>
      <c r="D26" s="18">
        <v>517.79999999999995</v>
      </c>
      <c r="E26" s="18">
        <v>522.70000000000005</v>
      </c>
    </row>
    <row r="27" spans="1:5" x14ac:dyDescent="0.35">
      <c r="A27" s="11" t="s">
        <v>111</v>
      </c>
      <c r="B27" s="18">
        <v>1766.5</v>
      </c>
      <c r="C27" s="18">
        <v>1804.7</v>
      </c>
      <c r="D27" s="18">
        <v>1880.6</v>
      </c>
      <c r="E27" s="18">
        <v>2662</v>
      </c>
    </row>
    <row r="28" spans="1:5" x14ac:dyDescent="0.35">
      <c r="A28" s="11" t="s">
        <v>112</v>
      </c>
      <c r="B28" s="30">
        <f>IF(B9&lt;=0,"n.m.",B27/B9)</f>
        <v>1.4483431782134424</v>
      </c>
      <c r="C28" s="30">
        <f>IF(C9&lt;=0,"n.m.",C27/C9)</f>
        <v>1.5060197605113976</v>
      </c>
      <c r="D28" s="30">
        <f>IF(D9&lt;=0,"n.m.",D27/D9)</f>
        <v>1.9199807246431555</v>
      </c>
      <c r="E28" s="30">
        <f>IF(E9&lt;=0,"n.m.",E27/E9)</f>
        <v>2.2381244147466504</v>
      </c>
    </row>
    <row r="29" spans="1:5" x14ac:dyDescent="0.35">
      <c r="A29" s="11" t="s">
        <v>113</v>
      </c>
      <c r="B29" s="18">
        <v>31.769500000000001</v>
      </c>
      <c r="C29" s="18">
        <v>92.024249999999995</v>
      </c>
      <c r="D29" s="18">
        <v>121.18899999999999</v>
      </c>
      <c r="E29" s="18">
        <v>106.58875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4" customWidth="1"/>
    <col min="2" max="9" width="12" customWidth="1"/>
  </cols>
  <sheetData>
    <row r="1" spans="1:9" ht="18" x14ac:dyDescent="0.4">
      <c r="A1" s="1" t="s">
        <v>114</v>
      </c>
    </row>
    <row r="2" spans="1:9" x14ac:dyDescent="0.35">
      <c r="A2" s="2" t="s">
        <v>115</v>
      </c>
    </row>
    <row r="4" spans="1:9" x14ac:dyDescent="0.35">
      <c r="A4" s="13" t="s">
        <v>85</v>
      </c>
      <c r="B4" s="14" t="s">
        <v>89</v>
      </c>
      <c r="C4" s="14" t="s">
        <v>70</v>
      </c>
      <c r="D4" s="14" t="s">
        <v>71</v>
      </c>
      <c r="E4" s="14" t="s">
        <v>72</v>
      </c>
      <c r="F4" s="14" t="s">
        <v>73</v>
      </c>
      <c r="G4" s="14" t="s">
        <v>74</v>
      </c>
      <c r="H4" s="14" t="s">
        <v>75</v>
      </c>
      <c r="I4" s="14" t="s">
        <v>116</v>
      </c>
    </row>
    <row r="5" spans="1:9" x14ac:dyDescent="0.35">
      <c r="A5" s="11" t="s">
        <v>76</v>
      </c>
      <c r="C5" s="31">
        <f>Inputs!B33</f>
        <v>0.1163</v>
      </c>
      <c r="D5" s="31">
        <f>Inputs!C33</f>
        <v>7.6100000000000001E-2</v>
      </c>
      <c r="E5" s="31">
        <f>Inputs!D33</f>
        <v>6.2075000000000012E-2</v>
      </c>
      <c r="F5" s="31">
        <f>Inputs!E33</f>
        <v>4.8050000000000002E-2</v>
      </c>
      <c r="G5" s="31">
        <f>Inputs!F33</f>
        <v>3.4025E-2</v>
      </c>
      <c r="H5" s="31">
        <f>Inputs!G33</f>
        <v>0.02</v>
      </c>
      <c r="I5" s="31">
        <f>Inputs!$B$11</f>
        <v>0.02</v>
      </c>
    </row>
    <row r="6" spans="1:9" x14ac:dyDescent="0.35">
      <c r="A6" s="3" t="s">
        <v>90</v>
      </c>
      <c r="B6" s="32">
        <f>Historicals!E5</f>
        <v>5688.7</v>
      </c>
      <c r="C6" s="28">
        <f t="shared" ref="C6:I6" si="0">B6*(1+C5)</f>
        <v>6350.2958100000005</v>
      </c>
      <c r="D6" s="28">
        <f t="shared" si="0"/>
        <v>6833.5533211410011</v>
      </c>
      <c r="E6" s="28">
        <f t="shared" si="0"/>
        <v>7257.7461435508294</v>
      </c>
      <c r="F6" s="28">
        <f t="shared" si="0"/>
        <v>7606.480845748446</v>
      </c>
      <c r="G6" s="28">
        <f t="shared" si="0"/>
        <v>7865.2913565250365</v>
      </c>
      <c r="H6" s="28">
        <f t="shared" si="0"/>
        <v>8022.5971836555373</v>
      </c>
      <c r="I6" s="28">
        <f t="shared" si="0"/>
        <v>8183.049127328648</v>
      </c>
    </row>
    <row r="7" spans="1:9" x14ac:dyDescent="0.35">
      <c r="A7" s="26" t="s">
        <v>77</v>
      </c>
      <c r="B7" s="27">
        <f>B8/B6</f>
        <v>0.2090791832931953</v>
      </c>
      <c r="C7" s="31">
        <f>Inputs!B34</f>
        <v>0.20777620198107291</v>
      </c>
      <c r="D7" s="31">
        <f>Inputs!C34</f>
        <v>0.20647322066895049</v>
      </c>
      <c r="E7" s="31">
        <f>Inputs!D34</f>
        <v>0.20517023935682821</v>
      </c>
      <c r="F7" s="31">
        <f>Inputs!E34</f>
        <v>0.20386725804470579</v>
      </c>
      <c r="G7" s="31">
        <f>Inputs!F34</f>
        <v>0.2025642767325834</v>
      </c>
      <c r="H7" s="31">
        <f>Inputs!G34</f>
        <v>0.20126129542046101</v>
      </c>
      <c r="I7" s="27">
        <f>H7</f>
        <v>0.20126129542046101</v>
      </c>
    </row>
    <row r="8" spans="1:9" x14ac:dyDescent="0.35">
      <c r="A8" s="3" t="s">
        <v>94</v>
      </c>
      <c r="B8" s="32">
        <f>Historicals!E9</f>
        <v>1189.3887500000001</v>
      </c>
      <c r="C8" s="28">
        <f t="shared" ref="C8:I8" si="1">C6*C7</f>
        <v>1319.4403448581211</v>
      </c>
      <c r="D8" s="28">
        <f t="shared" si="1"/>
        <v>1410.9457628289854</v>
      </c>
      <c r="E8" s="28">
        <f t="shared" si="1"/>
        <v>1489.0735134634206</v>
      </c>
      <c r="F8" s="28">
        <f t="shared" si="1"/>
        <v>1550.7123933923103</v>
      </c>
      <c r="G8" s="28">
        <f t="shared" si="1"/>
        <v>1593.2270549255338</v>
      </c>
      <c r="H8" s="28">
        <f t="shared" si="1"/>
        <v>1614.6383018190556</v>
      </c>
      <c r="I8" s="28">
        <f t="shared" si="1"/>
        <v>1646.9310678554366</v>
      </c>
    </row>
    <row r="9" spans="1:9" x14ac:dyDescent="0.35">
      <c r="A9" s="26" t="s">
        <v>78</v>
      </c>
      <c r="C9" s="31">
        <f>Inputs!B35</f>
        <v>4.0873530285875308E-2</v>
      </c>
      <c r="D9" s="31">
        <f>Inputs!C35</f>
        <v>4.0873530285875308E-2</v>
      </c>
      <c r="E9" s="31">
        <f>Inputs!D35</f>
        <v>4.0873530285875308E-2</v>
      </c>
      <c r="F9" s="31">
        <f>Inputs!E35</f>
        <v>4.0873530285875308E-2</v>
      </c>
      <c r="G9" s="31">
        <f>Inputs!F35</f>
        <v>4.0873530285875308E-2</v>
      </c>
      <c r="H9" s="31">
        <f>Inputs!G35</f>
        <v>4.0873530285875308E-2</v>
      </c>
      <c r="I9" s="27">
        <f>H9</f>
        <v>4.0873530285875308E-2</v>
      </c>
    </row>
    <row r="10" spans="1:9" x14ac:dyDescent="0.35">
      <c r="A10" s="11" t="s">
        <v>97</v>
      </c>
      <c r="B10" s="32">
        <f>Historicals!E13</f>
        <v>250.4</v>
      </c>
      <c r="C10" s="29">
        <f t="shared" ref="C10:I10" si="2">C6*C9</f>
        <v>259.55900811430212</v>
      </c>
      <c r="D10" s="29">
        <f t="shared" si="2"/>
        <v>279.31144863180049</v>
      </c>
      <c r="E10" s="29">
        <f t="shared" si="2"/>
        <v>296.64970680561953</v>
      </c>
      <c r="F10" s="29">
        <f t="shared" si="2"/>
        <v>310.90372521762953</v>
      </c>
      <c r="G10" s="29">
        <f t="shared" si="2"/>
        <v>321.48222446815936</v>
      </c>
      <c r="H10" s="29">
        <f t="shared" si="2"/>
        <v>327.91186895752253</v>
      </c>
      <c r="I10" s="29">
        <f t="shared" si="2"/>
        <v>334.47010633667298</v>
      </c>
    </row>
    <row r="11" spans="1:9" x14ac:dyDescent="0.35">
      <c r="A11" s="3" t="s">
        <v>98</v>
      </c>
      <c r="B11" s="32">
        <f>Historicals!E14</f>
        <v>938.9887500000001</v>
      </c>
      <c r="C11" s="28">
        <f t="shared" ref="C11:I11" si="3">C8-C10</f>
        <v>1059.881336743819</v>
      </c>
      <c r="D11" s="28">
        <f t="shared" si="3"/>
        <v>1131.6343141971849</v>
      </c>
      <c r="E11" s="28">
        <f t="shared" si="3"/>
        <v>1192.4238066578009</v>
      </c>
      <c r="F11" s="28">
        <f t="shared" si="3"/>
        <v>1239.8086681746809</v>
      </c>
      <c r="G11" s="28">
        <f t="shared" si="3"/>
        <v>1271.7448304573745</v>
      </c>
      <c r="H11" s="28">
        <f t="shared" si="3"/>
        <v>1286.7264328615331</v>
      </c>
      <c r="I11" s="28">
        <f t="shared" si="3"/>
        <v>1312.4609615187637</v>
      </c>
    </row>
    <row r="12" spans="1:9" x14ac:dyDescent="0.35">
      <c r="A12" s="26" t="s">
        <v>99</v>
      </c>
      <c r="C12" s="27">
        <f t="shared" ref="C12:I12" si="4">C11/C6</f>
        <v>0.1669026716951976</v>
      </c>
      <c r="D12" s="27">
        <f t="shared" si="4"/>
        <v>0.16559969038307518</v>
      </c>
      <c r="E12" s="27">
        <f t="shared" si="4"/>
        <v>0.1642967090709529</v>
      </c>
      <c r="F12" s="27">
        <f t="shared" si="4"/>
        <v>0.16299372775883048</v>
      </c>
      <c r="G12" s="27">
        <f t="shared" si="4"/>
        <v>0.16169074644670811</v>
      </c>
      <c r="H12" s="27">
        <f t="shared" si="4"/>
        <v>0.16038776513458572</v>
      </c>
      <c r="I12" s="27">
        <f t="shared" si="4"/>
        <v>0.16038776513458572</v>
      </c>
    </row>
    <row r="13" spans="1:9" x14ac:dyDescent="0.35">
      <c r="A13" s="11" t="s">
        <v>117</v>
      </c>
      <c r="C13" s="29">
        <f>-MAX(C11,0)*Inputs!$B$10</f>
        <v>-233.17389408364019</v>
      </c>
      <c r="D13" s="29">
        <f>-MAX(D11,0)*Inputs!$B$10</f>
        <v>-248.9595491233807</v>
      </c>
      <c r="E13" s="29">
        <f>-MAX(E11,0)*Inputs!$B$10</f>
        <v>-262.33323746471621</v>
      </c>
      <c r="F13" s="29">
        <f>-MAX(F11,0)*Inputs!$B$10</f>
        <v>-272.7579069984298</v>
      </c>
      <c r="G13" s="29">
        <f>-MAX(G11,0)*Inputs!$B$10</f>
        <v>-279.78386270062242</v>
      </c>
      <c r="H13" s="29">
        <f>-MAX(H11,0)*Inputs!$B$10</f>
        <v>-283.0798152295373</v>
      </c>
      <c r="I13" s="29">
        <f>-MAX(I11,0)*Inputs!$B$10</f>
        <v>-288.74141153412802</v>
      </c>
    </row>
    <row r="14" spans="1:9" x14ac:dyDescent="0.35">
      <c r="A14" s="3" t="s">
        <v>101</v>
      </c>
      <c r="B14" s="32">
        <f>Historicals!E17</f>
        <v>797.08007057904865</v>
      </c>
      <c r="C14" s="28">
        <f t="shared" ref="C14:I14" si="5">C11+C13</f>
        <v>826.7074426601788</v>
      </c>
      <c r="D14" s="28">
        <f t="shared" si="5"/>
        <v>882.67476507380422</v>
      </c>
      <c r="E14" s="28">
        <f t="shared" si="5"/>
        <v>930.09056919308478</v>
      </c>
      <c r="F14" s="28">
        <f t="shared" si="5"/>
        <v>967.05076117625106</v>
      </c>
      <c r="G14" s="28">
        <f t="shared" si="5"/>
        <v>991.9609677567521</v>
      </c>
      <c r="H14" s="28">
        <f t="shared" si="5"/>
        <v>1003.6466176319958</v>
      </c>
      <c r="I14" s="28">
        <f t="shared" si="5"/>
        <v>1023.7195499846357</v>
      </c>
    </row>
    <row r="15" spans="1:9" x14ac:dyDescent="0.35">
      <c r="A15" s="26" t="s">
        <v>79</v>
      </c>
      <c r="C15" s="31">
        <f>Inputs!B36</f>
        <v>6.8565279573521307E-2</v>
      </c>
      <c r="D15" s="31">
        <f>Inputs!C36</f>
        <v>6.3435665018850868E-2</v>
      </c>
      <c r="E15" s="31">
        <f>Inputs!D36</f>
        <v>5.8306050464180408E-2</v>
      </c>
      <c r="F15" s="31">
        <f>Inputs!E36</f>
        <v>5.3176435909509968E-2</v>
      </c>
      <c r="G15" s="31">
        <f>Inputs!F36</f>
        <v>4.8046821354839522E-2</v>
      </c>
      <c r="H15" s="31">
        <f>Inputs!G36</f>
        <v>4.2917206800169083E-2</v>
      </c>
      <c r="I15" s="27">
        <f>H15</f>
        <v>4.2917206800169083E-2</v>
      </c>
    </row>
    <row r="16" spans="1:9" x14ac:dyDescent="0.35">
      <c r="A16" s="11" t="s">
        <v>102</v>
      </c>
      <c r="B16" s="32">
        <f>Historicals!E18</f>
        <v>-376.2</v>
      </c>
      <c r="C16" s="29">
        <f t="shared" ref="C16:I16" si="6">-C6*C15</f>
        <v>-435.40980758721099</v>
      </c>
      <c r="D16" s="29">
        <f t="shared" si="6"/>
        <v>-433.49099936835637</v>
      </c>
      <c r="E16" s="29">
        <f t="shared" si="6"/>
        <v>-423.17051290208542</v>
      </c>
      <c r="F16" s="29">
        <f t="shared" si="6"/>
        <v>-404.48554119085742</v>
      </c>
      <c r="G16" s="29">
        <f t="shared" si="6"/>
        <v>-377.90224871072184</v>
      </c>
      <c r="H16" s="29">
        <f t="shared" si="6"/>
        <v>-344.30746240539878</v>
      </c>
      <c r="I16" s="29">
        <f t="shared" si="6"/>
        <v>-351.19361165350671</v>
      </c>
    </row>
    <row r="17" spans="1:9" x14ac:dyDescent="0.35">
      <c r="A17" s="26" t="s">
        <v>80</v>
      </c>
      <c r="C17" s="31">
        <f>Inputs!B37</f>
        <v>0.49520563523441158</v>
      </c>
      <c r="D17" s="31">
        <f>Inputs!C37</f>
        <v>0.49520563523441158</v>
      </c>
      <c r="E17" s="31">
        <f>Inputs!D37</f>
        <v>0.49520563523441158</v>
      </c>
      <c r="F17" s="31">
        <f>Inputs!E37</f>
        <v>0.49520563523441158</v>
      </c>
      <c r="G17" s="31">
        <f>Inputs!F37</f>
        <v>0.49520563523441158</v>
      </c>
      <c r="H17" s="31">
        <f>Inputs!G37</f>
        <v>0.49520563523441158</v>
      </c>
      <c r="I17" s="27">
        <f>H17</f>
        <v>0.49520563523441158</v>
      </c>
    </row>
    <row r="18" spans="1:9" x14ac:dyDescent="0.35">
      <c r="A18" s="11" t="s">
        <v>103</v>
      </c>
      <c r="B18" s="32">
        <f>Historicals!E19</f>
        <v>-37.5</v>
      </c>
      <c r="C18" s="29">
        <f t="shared" ref="C18:I18" si="7">-C17*(C6-B6)</f>
        <v>-327.62597335947544</v>
      </c>
      <c r="D18" s="29">
        <f t="shared" si="7"/>
        <v>-239.31184278637991</v>
      </c>
      <c r="E18" s="29">
        <f t="shared" si="7"/>
        <v>-210.06267608333695</v>
      </c>
      <c r="F18" s="29">
        <f t="shared" si="7"/>
        <v>-172.69538973005407</v>
      </c>
      <c r="G18" s="29">
        <f t="shared" si="7"/>
        <v>-128.16442339446402</v>
      </c>
      <c r="H18" s="29">
        <f t="shared" si="7"/>
        <v>-77.898732050234187</v>
      </c>
      <c r="I18" s="29">
        <f t="shared" si="7"/>
        <v>-79.456706691238807</v>
      </c>
    </row>
    <row r="19" spans="1:9" x14ac:dyDescent="0.35">
      <c r="A19" s="3" t="s">
        <v>104</v>
      </c>
      <c r="B19" s="32">
        <f>Historicals!E20</f>
        <v>633.7800705790487</v>
      </c>
      <c r="C19" s="28">
        <f t="shared" ref="C19:I19" si="8">C14+C10+C16+C18</f>
        <v>323.2306698277946</v>
      </c>
      <c r="D19" s="28">
        <f t="shared" si="8"/>
        <v>489.18337155086851</v>
      </c>
      <c r="E19" s="28">
        <f t="shared" si="8"/>
        <v>593.50708701328199</v>
      </c>
      <c r="F19" s="28">
        <f t="shared" si="8"/>
        <v>700.77355547296906</v>
      </c>
      <c r="G19" s="28">
        <f t="shared" si="8"/>
        <v>807.37652011972557</v>
      </c>
      <c r="H19" s="28">
        <f t="shared" si="8"/>
        <v>909.35229213388538</v>
      </c>
      <c r="I19" s="28">
        <f t="shared" si="8"/>
        <v>927.53933797656316</v>
      </c>
    </row>
    <row r="20" spans="1:9" x14ac:dyDescent="0.35">
      <c r="A20" s="26" t="s">
        <v>105</v>
      </c>
      <c r="C20" s="27">
        <f t="shared" ref="C20:I20" si="9">C19/C6</f>
        <v>5.0900096546493724E-2</v>
      </c>
      <c r="D20" s="27">
        <f t="shared" si="9"/>
        <v>7.1585505894492585E-2</v>
      </c>
      <c r="E20" s="27">
        <f t="shared" si="9"/>
        <v>8.177567460673274E-2</v>
      </c>
      <c r="F20" s="27">
        <f t="shared" si="9"/>
        <v>9.2128484864937021E-2</v>
      </c>
      <c r="G20" s="27">
        <f t="shared" si="9"/>
        <v>0.10265055463583392</v>
      </c>
      <c r="H20" s="27">
        <f t="shared" si="9"/>
        <v>0.11334886587432205</v>
      </c>
      <c r="I20" s="27">
        <f t="shared" si="9"/>
        <v>0.11334886587432207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workbookViewId="0"/>
  </sheetViews>
  <sheetFormatPr defaultRowHeight="14.5" x14ac:dyDescent="0.35"/>
  <cols>
    <col min="1" max="1" width="34" customWidth="1"/>
    <col min="2" max="2" width="14" customWidth="1"/>
    <col min="3" max="3" width="40" customWidth="1"/>
  </cols>
  <sheetData>
    <row r="1" spans="1:3" ht="18" x14ac:dyDescent="0.4">
      <c r="A1" s="1" t="s">
        <v>118</v>
      </c>
    </row>
    <row r="2" spans="1:3" x14ac:dyDescent="0.35">
      <c r="A2" s="2" t="s">
        <v>119</v>
      </c>
    </row>
    <row r="4" spans="1:3" x14ac:dyDescent="0.35">
      <c r="A4" s="13" t="s">
        <v>120</v>
      </c>
      <c r="B4" s="14" t="s">
        <v>25</v>
      </c>
    </row>
    <row r="5" spans="1:3" x14ac:dyDescent="0.35">
      <c r="A5" s="11" t="s">
        <v>39</v>
      </c>
      <c r="B5" s="7">
        <f>Inputs!$B$12</f>
        <v>3.7999999999999999E-2</v>
      </c>
    </row>
    <row r="6" spans="1:3" x14ac:dyDescent="0.35">
      <c r="A6" s="11" t="s">
        <v>41</v>
      </c>
      <c r="B6" s="4">
        <f>Inputs!$B$14</f>
        <v>0.77175877744762234</v>
      </c>
      <c r="C6" s="2" t="s">
        <v>42</v>
      </c>
    </row>
    <row r="7" spans="1:3" x14ac:dyDescent="0.35">
      <c r="A7" s="11" t="s">
        <v>40</v>
      </c>
      <c r="B7" s="7">
        <f>Inputs!$B$13</f>
        <v>0.05</v>
      </c>
    </row>
    <row r="8" spans="1:3" x14ac:dyDescent="0.35">
      <c r="A8" s="11" t="s">
        <v>43</v>
      </c>
      <c r="B8" s="7">
        <f>Inputs!$B$15</f>
        <v>0</v>
      </c>
    </row>
    <row r="9" spans="1:3" x14ac:dyDescent="0.35">
      <c r="A9" s="3" t="s">
        <v>121</v>
      </c>
      <c r="B9" s="33">
        <f>B5+B6*B7+B8</f>
        <v>7.658793887238112E-2</v>
      </c>
    </row>
    <row r="10" spans="1:3" x14ac:dyDescent="0.35">
      <c r="A10" s="11" t="s">
        <v>45</v>
      </c>
      <c r="B10" s="7">
        <f>Inputs!$B$16</f>
        <v>4.1821650677809817E-2</v>
      </c>
    </row>
    <row r="11" spans="1:3" x14ac:dyDescent="0.35">
      <c r="A11" s="11" t="s">
        <v>36</v>
      </c>
      <c r="B11" s="5">
        <f>Inputs!$B$10</f>
        <v>0.22</v>
      </c>
    </row>
    <row r="12" spans="1:3" x14ac:dyDescent="0.35">
      <c r="A12" s="11" t="s">
        <v>122</v>
      </c>
      <c r="B12" s="34">
        <f>B10*(1-B11)</f>
        <v>3.2620887528691661E-2</v>
      </c>
    </row>
    <row r="13" spans="1:3" x14ac:dyDescent="0.35">
      <c r="A13" s="11" t="s">
        <v>123</v>
      </c>
      <c r="B13" s="29">
        <f>(Inputs!$B$5*Inputs!$B$6)*Inputs!$B$7</f>
        <v>9426.1487424822444</v>
      </c>
    </row>
    <row r="14" spans="1:3" x14ac:dyDescent="0.35">
      <c r="A14" s="11" t="s">
        <v>124</v>
      </c>
      <c r="B14" s="32">
        <f>Inputs!$B$17</f>
        <v>2940</v>
      </c>
    </row>
    <row r="15" spans="1:3" x14ac:dyDescent="0.35">
      <c r="A15" s="11" t="s">
        <v>125</v>
      </c>
      <c r="B15" s="35">
        <f>B13/(B13+B14)</f>
        <v>0.76225419399169736</v>
      </c>
    </row>
    <row r="16" spans="1:3" x14ac:dyDescent="0.35">
      <c r="A16" s="11" t="s">
        <v>126</v>
      </c>
      <c r="B16" s="35">
        <f>B14/(B13+B14)</f>
        <v>0.2377458060083027</v>
      </c>
    </row>
    <row r="17" spans="1:2" x14ac:dyDescent="0.35">
      <c r="A17" s="3" t="s">
        <v>10</v>
      </c>
      <c r="B17" s="33">
        <f>B15*B9+B16*B12</f>
        <v>6.613495681286724E-2</v>
      </c>
    </row>
    <row r="19" spans="1:2" x14ac:dyDescent="0.35">
      <c r="A19" s="9" t="s">
        <v>127</v>
      </c>
    </row>
    <row r="20" spans="1:2" x14ac:dyDescent="0.35">
      <c r="A20" s="11" t="s">
        <v>128</v>
      </c>
      <c r="B20" s="24">
        <v>0.46721026600210919</v>
      </c>
    </row>
    <row r="21" spans="1:2" x14ac:dyDescent="0.35">
      <c r="A21" s="11" t="s">
        <v>129</v>
      </c>
      <c r="B21" s="24">
        <v>0.58087350337150989</v>
      </c>
    </row>
    <row r="22" spans="1:2" x14ac:dyDescent="0.35">
      <c r="A22" s="11" t="s">
        <v>130</v>
      </c>
      <c r="B22" s="24">
        <v>0.71918524725891164</v>
      </c>
    </row>
    <row r="23" spans="1:2" x14ac:dyDescent="0.35">
      <c r="A23" s="11" t="s">
        <v>131</v>
      </c>
      <c r="B23" s="22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4" customWidth="1"/>
    <col min="2" max="7" width="12" customWidth="1"/>
  </cols>
  <sheetData>
    <row r="1" spans="1:7" ht="18" x14ac:dyDescent="0.4">
      <c r="A1" s="1" t="s">
        <v>132</v>
      </c>
    </row>
    <row r="2" spans="1:7" x14ac:dyDescent="0.35">
      <c r="A2" s="2" t="s">
        <v>133</v>
      </c>
    </row>
    <row r="4" spans="1:7" x14ac:dyDescent="0.35">
      <c r="A4" s="13" t="s">
        <v>134</v>
      </c>
      <c r="B4" s="14" t="s">
        <v>70</v>
      </c>
      <c r="C4" s="14" t="s">
        <v>71</v>
      </c>
      <c r="D4" s="14" t="s">
        <v>72</v>
      </c>
      <c r="E4" s="14" t="s">
        <v>73</v>
      </c>
      <c r="F4" s="14" t="s">
        <v>74</v>
      </c>
      <c r="G4" s="14" t="s">
        <v>75</v>
      </c>
    </row>
    <row r="5" spans="1:7" x14ac:dyDescent="0.35">
      <c r="A5" s="3" t="s">
        <v>104</v>
      </c>
      <c r="B5" s="36">
        <f>Forecast!C19</f>
        <v>323.2306698277946</v>
      </c>
      <c r="C5" s="36">
        <f>Forecast!D19</f>
        <v>489.18337155086851</v>
      </c>
      <c r="D5" s="36">
        <f>Forecast!E19</f>
        <v>593.50708701328199</v>
      </c>
      <c r="E5" s="36">
        <f>Forecast!F19</f>
        <v>700.77355547296906</v>
      </c>
      <c r="F5" s="36">
        <f>Forecast!G19</f>
        <v>807.37652011972557</v>
      </c>
      <c r="G5" s="36">
        <f>Forecast!H19</f>
        <v>909.35229213388538</v>
      </c>
    </row>
    <row r="6" spans="1:7" x14ac:dyDescent="0.35">
      <c r="A6" s="11" t="s">
        <v>135</v>
      </c>
      <c r="B6" s="37">
        <f>IF(Inputs!$B$18=1,(1+Inputs!$B$20)/2,1)-Inputs!$B$19</f>
        <v>0.27173169062286107</v>
      </c>
      <c r="C6" s="37">
        <f>2-Inputs!$B$19-0.5*Inputs!$B$18</f>
        <v>1.2717316906228611</v>
      </c>
      <c r="D6" s="37">
        <f>3-Inputs!$B$19-0.5*Inputs!$B$18</f>
        <v>2.2717316906228611</v>
      </c>
      <c r="E6" s="37">
        <f>4-Inputs!$B$19-0.5*Inputs!$B$18</f>
        <v>3.2717316906228611</v>
      </c>
      <c r="F6" s="37">
        <f>5-Inputs!$B$19-0.5*Inputs!$B$18</f>
        <v>4.2717316906228611</v>
      </c>
      <c r="G6" s="37">
        <f>6-Inputs!$B$19-0.5*Inputs!$B$18</f>
        <v>5.2717316906228611</v>
      </c>
    </row>
    <row r="7" spans="1:7" x14ac:dyDescent="0.35">
      <c r="A7" s="11" t="s">
        <v>136</v>
      </c>
      <c r="B7" s="37">
        <f>1/(1+WACC!$B$17)^B6</f>
        <v>0.98274885928221445</v>
      </c>
      <c r="C7" s="37">
        <f>1/(1+WACC!$B$17)^C6</f>
        <v>0.92178654587977349</v>
      </c>
      <c r="D7" s="37">
        <f>1/(1+WACC!$B$17)^D6</f>
        <v>0.86460587375859721</v>
      </c>
      <c r="E7" s="37">
        <f>1/(1+WACC!$B$17)^E6</f>
        <v>0.81097225846835885</v>
      </c>
      <c r="F7" s="37">
        <f>1/(1+WACC!$B$17)^F6</f>
        <v>0.76066566740546748</v>
      </c>
      <c r="G7" s="37">
        <f>1/(1+WACC!$B$17)^G6</f>
        <v>0.71347971712645275</v>
      </c>
    </row>
    <row r="8" spans="1:7" x14ac:dyDescent="0.35">
      <c r="A8" s="3" t="s">
        <v>137</v>
      </c>
      <c r="B8" s="28">
        <f>B5*(1-Inputs!$B$20)*B7</f>
        <v>160.24053361188274</v>
      </c>
      <c r="C8" s="28">
        <f>C5*C7</f>
        <v>450.92265036369696</v>
      </c>
      <c r="D8" s="28">
        <f>D5*D7</f>
        <v>513.14971354903844</v>
      </c>
      <c r="E8" s="28">
        <f>E5*E7</f>
        <v>568.30791295681547</v>
      </c>
      <c r="F8" s="28">
        <f>F5*F7</f>
        <v>614.14359952437485</v>
      </c>
      <c r="G8" s="28">
        <f>G5*G7</f>
        <v>648.80441615997597</v>
      </c>
    </row>
    <row r="10" spans="1:7" x14ac:dyDescent="0.35">
      <c r="A10" s="3" t="s">
        <v>138</v>
      </c>
      <c r="B10" s="28">
        <f>SUM(B8:G8)</f>
        <v>2955.5688261657847</v>
      </c>
    </row>
    <row r="11" spans="1:7" x14ac:dyDescent="0.35">
      <c r="A11" s="11" t="s">
        <v>11</v>
      </c>
      <c r="B11" s="7">
        <f>Inputs!$B$11</f>
        <v>0.02</v>
      </c>
    </row>
    <row r="12" spans="1:7" x14ac:dyDescent="0.35">
      <c r="A12" s="11" t="s">
        <v>10</v>
      </c>
      <c r="B12" s="7">
        <f>WACC!$B$17</f>
        <v>6.613495681286724E-2</v>
      </c>
    </row>
    <row r="13" spans="1:7" x14ac:dyDescent="0.35">
      <c r="A13" s="11" t="s">
        <v>139</v>
      </c>
      <c r="B13" s="29">
        <f>IF(Inputs!$B$21=1,Forecast!$H$14*(1+B11)*(1-B11/Inputs!$B$22),$G$5*(1+B11))</f>
        <v>927.53933797656316</v>
      </c>
    </row>
    <row r="14" spans="1:7" x14ac:dyDescent="0.35">
      <c r="A14" s="3" t="s">
        <v>140</v>
      </c>
      <c r="B14" s="28">
        <f>B13/(B12-B11)</f>
        <v>20104.91397529321</v>
      </c>
    </row>
    <row r="15" spans="1:7" x14ac:dyDescent="0.35">
      <c r="A15" s="3" t="s">
        <v>141</v>
      </c>
      <c r="B15" s="28">
        <f>B14/(1+B12)^(6-Inputs!$B$19)</f>
        <v>14344.448335943867</v>
      </c>
    </row>
    <row r="16" spans="1:7" x14ac:dyDescent="0.35">
      <c r="A16" s="3" t="s">
        <v>142</v>
      </c>
      <c r="B16" s="28">
        <f>B10+B15</f>
        <v>17300.017162109652</v>
      </c>
    </row>
    <row r="17" spans="1:2" x14ac:dyDescent="0.35">
      <c r="A17" s="11" t="s">
        <v>143</v>
      </c>
      <c r="B17" s="32">
        <f>-Inputs!$B$8</f>
        <v>-2826.4</v>
      </c>
    </row>
    <row r="18" spans="1:2" x14ac:dyDescent="0.35">
      <c r="A18" s="11" t="s">
        <v>144</v>
      </c>
      <c r="B18" s="32">
        <f>-Inputs!$B$9</f>
        <v>-192.1</v>
      </c>
    </row>
    <row r="19" spans="1:2" x14ac:dyDescent="0.35">
      <c r="A19" s="3" t="s">
        <v>145</v>
      </c>
      <c r="B19" s="28">
        <f>B16+B17+B18</f>
        <v>14281.517162109652</v>
      </c>
    </row>
    <row r="20" spans="1:2" x14ac:dyDescent="0.35">
      <c r="A20" s="11" t="s">
        <v>30</v>
      </c>
      <c r="B20" s="38">
        <f>Inputs!$B$7</f>
        <v>527.29059600000005</v>
      </c>
    </row>
    <row r="21" spans="1:2" x14ac:dyDescent="0.35">
      <c r="A21" s="3" t="s">
        <v>146</v>
      </c>
      <c r="B21" s="39">
        <f>B19/B20/Inputs!$B$6</f>
        <v>293.47403164064281</v>
      </c>
    </row>
    <row r="22" spans="1:2" x14ac:dyDescent="0.35">
      <c r="A22" s="11" t="s">
        <v>147</v>
      </c>
      <c r="B22" s="4">
        <f>Inputs!$B$5</f>
        <v>193.7</v>
      </c>
    </row>
    <row r="23" spans="1:2" x14ac:dyDescent="0.35">
      <c r="A23" s="3" t="s">
        <v>148</v>
      </c>
      <c r="B23" s="40">
        <f>B21/B22-1</f>
        <v>0.51509567186702543</v>
      </c>
    </row>
    <row r="24" spans="1:2" x14ac:dyDescent="0.35">
      <c r="A24" s="11" t="s">
        <v>149</v>
      </c>
      <c r="B24" s="35">
        <f>B15/B16</f>
        <v>0.82915804080015332</v>
      </c>
    </row>
    <row r="25" spans="1:2" x14ac:dyDescent="0.35">
      <c r="A25" s="11" t="s">
        <v>150</v>
      </c>
      <c r="B25" s="30">
        <f>B14/Forecast!H8</f>
        <v>12.451651835982686</v>
      </c>
    </row>
    <row r="26" spans="1:2" x14ac:dyDescent="0.35">
      <c r="A26" s="11" t="s">
        <v>151</v>
      </c>
      <c r="B26" s="4">
        <f>Inputs!$B$26*B21+(1-Inputs!$B$26)*Inputs!$B$27</f>
        <v>293.47403164064281</v>
      </c>
    </row>
    <row r="27" spans="1:2" x14ac:dyDescent="0.35">
      <c r="A27" s="11" t="s">
        <v>121</v>
      </c>
      <c r="B27" s="7">
        <f>WACC!$B$9</f>
        <v>7.658793887238112E-2</v>
      </c>
    </row>
    <row r="28" spans="1:2" x14ac:dyDescent="0.35">
      <c r="A28" s="11" t="s">
        <v>58</v>
      </c>
      <c r="B28" s="41">
        <f>IF(Inputs!$B$24&gt;0,Inputs!$B$23,0)</f>
        <v>7.6</v>
      </c>
    </row>
    <row r="29" spans="1:2" x14ac:dyDescent="0.35">
      <c r="A29" s="11" t="s">
        <v>152</v>
      </c>
      <c r="B29" s="41">
        <f>IF(B26&lt;=0,0,B26*(1+B27)^(Inputs!$B$24/12)-B28)</f>
        <v>308.35060283656759</v>
      </c>
    </row>
    <row r="30" spans="1:2" x14ac:dyDescent="0.35">
      <c r="A30" s="3" t="s">
        <v>5</v>
      </c>
      <c r="B30" s="39">
        <f>IF(Inputs!$B$25&gt;0,MROUND(B29,Inputs!$B$25),B29)</f>
        <v>308.5</v>
      </c>
    </row>
    <row r="31" spans="1:2" x14ac:dyDescent="0.35">
      <c r="A31" s="3" t="s">
        <v>6</v>
      </c>
      <c r="B31" s="40">
        <f>B30/B22-1</f>
        <v>0.5926690758905524</v>
      </c>
    </row>
    <row r="32" spans="1:2" x14ac:dyDescent="0.35">
      <c r="A32" s="3" t="s">
        <v>153</v>
      </c>
      <c r="B32" s="40">
        <f>(B30+B28)/B22-1</f>
        <v>0.6319050077439341</v>
      </c>
    </row>
    <row r="33" spans="1:8" x14ac:dyDescent="0.35">
      <c r="A33" s="3" t="s">
        <v>8</v>
      </c>
      <c r="B33" s="3" t="str">
        <f>IF(B26&lt;=0,"NOT RATED",IF(B32&gt;=Inputs!$B$28,"BUY",IF(B32&lt;=Inputs!$B$29,"SELL","HOLD")))</f>
        <v>BUY</v>
      </c>
    </row>
    <row r="36" spans="1:8" x14ac:dyDescent="0.35">
      <c r="A36" s="9" t="s">
        <v>154</v>
      </c>
    </row>
    <row r="37" spans="1:8" x14ac:dyDescent="0.35">
      <c r="A37" s="14" t="s">
        <v>155</v>
      </c>
      <c r="B37" s="42">
        <f>WACC!$B$17+(-3)*0.005</f>
        <v>5.1134956812867241E-2</v>
      </c>
      <c r="C37" s="42">
        <f>WACC!$B$17+(-2)*0.005</f>
        <v>5.6134956812867239E-2</v>
      </c>
      <c r="D37" s="42">
        <f>WACC!$B$17+(-1)*0.005</f>
        <v>6.1134956812867243E-2</v>
      </c>
      <c r="E37" s="42">
        <f>WACC!$B$17+(0)*0.005</f>
        <v>6.613495681286724E-2</v>
      </c>
      <c r="F37" s="42">
        <f>WACC!$B$17+(1)*0.005</f>
        <v>7.1134956812867245E-2</v>
      </c>
      <c r="G37" s="42">
        <f>WACC!$B$17+(2)*0.005</f>
        <v>7.6134956812867235E-2</v>
      </c>
      <c r="H37" s="42">
        <f>WACC!$B$17+(3)*0.005</f>
        <v>8.113495681286724E-2</v>
      </c>
    </row>
    <row r="38" spans="1:8" x14ac:dyDescent="0.35">
      <c r="A38" s="42">
        <f>Inputs!$B$11+(-3)*0.0025</f>
        <v>1.2500000000000001E-2</v>
      </c>
      <c r="B38" s="43">
        <f>IF(B$37&lt;=$A38,"n.m.",(SUMPRODUCT($B$5:$G$5,(1+B$37)^(-DCF!$B$6:$G$6))-$B$5*Inputs!$B$20*(1+B$37)^(-DCF!$B$6)+IF(Inputs!$B$21=1,Forecast!$H$14*(1+$A38)*(1-$A38/Inputs!$B$22),$G$5*(1+$A38))/(B$37-$A38)/(1+B$37)^(6-Inputs!$B$19)-Inputs!$B$8-Inputs!$B$9)/Inputs!$B$7/Inputs!$B$6)</f>
        <v>378.10809147468382</v>
      </c>
      <c r="C38" s="43">
        <f>IF(C$37&lt;=$A38,"n.m.",(SUMPRODUCT($B$5:$G$5,(1+C$37)^(-DCF!$B$6:$G$6))-$B$5*Inputs!$B$20*(1+C$37)^(-DCF!$B$6)+IF(Inputs!$B$21=1,Forecast!$H$14*(1+$A38)*(1-$A38/Inputs!$B$22),$G$5*(1+$A38))/(C$37-$A38)/(1+C$37)^(6-Inputs!$B$19)-Inputs!$B$8-Inputs!$B$9)/Inputs!$B$7/Inputs!$B$6)</f>
        <v>325.73975471372069</v>
      </c>
      <c r="D38" s="43">
        <f>IF(D$37&lt;=$A38,"n.m.",(SUMPRODUCT($B$5:$G$5,(1+D$37)^(-DCF!$B$6:$G$6))-$B$5*Inputs!$B$20*(1+D$37)^(-DCF!$B$6)+IF(Inputs!$B$21=1,Forecast!$H$14*(1+$A38)*(1-$A38/Inputs!$B$22),$G$5*(1+$A38))/(D$37-$A38)/(1+D$37)^(6-Inputs!$B$19)-Inputs!$B$8-Inputs!$B$9)/Inputs!$B$7/Inputs!$B$6)</f>
        <v>284.1748428703047</v>
      </c>
      <c r="E38" s="43">
        <f>IF(E$37&lt;=$A38,"n.m.",(SUMPRODUCT($B$5:$G$5,(1+E$37)^(-DCF!$B$6:$G$6))-$B$5*Inputs!$B$20*(1+E$37)^(-DCF!$B$6)+IF(Inputs!$B$21=1,Forecast!$H$14*(1+$A38)*(1-$A38/Inputs!$B$22),$G$5*(1+$A38))/(E$37-$A38)/(1+E$37)^(6-Inputs!$B$19)-Inputs!$B$8-Inputs!$B$9)/Inputs!$B$7/Inputs!$B$6)</f>
        <v>250.39117194695211</v>
      </c>
      <c r="F38" s="43">
        <f>IF(F$37&lt;=$A38,"n.m.",(SUMPRODUCT($B$5:$G$5,(1+F$37)^(-DCF!$B$6:$G$6))-$B$5*Inputs!$B$20*(1+F$37)^(-DCF!$B$6)+IF(Inputs!$B$21=1,Forecast!$H$14*(1+$A38)*(1-$A38/Inputs!$B$22),$G$5*(1+$A38))/(F$37-$A38)/(1+F$37)^(6-Inputs!$B$19)-Inputs!$B$8-Inputs!$B$9)/Inputs!$B$7/Inputs!$B$6)</f>
        <v>222.39742750066941</v>
      </c>
      <c r="G38" s="43">
        <f>IF(G$37&lt;=$A38,"n.m.",(SUMPRODUCT($B$5:$G$5,(1+G$37)^(-DCF!$B$6:$G$6))-$B$5*Inputs!$B$20*(1+G$37)^(-DCF!$B$6)+IF(Inputs!$B$21=1,Forecast!$H$14*(1+$A38)*(1-$A38/Inputs!$B$22),$G$5*(1+$A38))/(G$37-$A38)/(1+G$37)^(6-Inputs!$B$19)-Inputs!$B$8-Inputs!$B$9)/Inputs!$B$7/Inputs!$B$6)</f>
        <v>198.82817049357729</v>
      </c>
      <c r="H38" s="43">
        <f>IF(H$37&lt;=$A38,"n.m.",(SUMPRODUCT($B$5:$G$5,(1+H$37)^(-DCF!$B$6:$G$6))-$B$5*Inputs!$B$20*(1+H$37)^(-DCF!$B$6)+IF(Inputs!$B$21=1,Forecast!$H$14*(1+$A38)*(1-$A38/Inputs!$B$22),$G$5*(1+$A38))/(H$37-$A38)/(1+H$37)^(6-Inputs!$B$19)-Inputs!$B$8-Inputs!$B$9)/Inputs!$B$7/Inputs!$B$6)</f>
        <v>178.71586410933642</v>
      </c>
    </row>
    <row r="39" spans="1:8" x14ac:dyDescent="0.35">
      <c r="A39" s="42">
        <f>Inputs!$B$11+(-2)*0.0025</f>
        <v>1.4999999999999999E-2</v>
      </c>
      <c r="B39" s="43">
        <f>IF(B$37&lt;=$A39,"n.m.",(SUMPRODUCT($B$5:$G$5,(1+B$37)^(-DCF!$B$6:$G$6))-$B$5*Inputs!$B$20*(1+B$37)^(-DCF!$B$6)+IF(Inputs!$B$21=1,Forecast!$H$14*(1+$A39)*(1-$A39/Inputs!$B$22),$G$5*(1+$A39))/(B$37-$A39)/(1+B$37)^(6-Inputs!$B$19)-Inputs!$B$8-Inputs!$B$9)/Inputs!$B$7/Inputs!$B$6)</f>
        <v>405.15018578066531</v>
      </c>
      <c r="C39" s="43">
        <f>IF(C$37&lt;=$A39,"n.m.",(SUMPRODUCT($B$5:$G$5,(1+C$37)^(-DCF!$B$6:$G$6))-$B$5*Inputs!$B$20*(1+C$37)^(-DCF!$B$6)+IF(Inputs!$B$21=1,Forecast!$H$14*(1+$A39)*(1-$A39/Inputs!$B$22),$G$5*(1+$A39))/(C$37-$A39)/(1+C$37)^(6-Inputs!$B$19)-Inputs!$B$8-Inputs!$B$9)/Inputs!$B$7/Inputs!$B$6)</f>
        <v>346.35074806238845</v>
      </c>
      <c r="D39" s="43">
        <f>IF(D$37&lt;=$A39,"n.m.",(SUMPRODUCT($B$5:$G$5,(1+D$37)^(-DCF!$B$6:$G$6))-$B$5*Inputs!$B$20*(1+D$37)^(-DCF!$B$6)+IF(Inputs!$B$21=1,Forecast!$H$14*(1+$A39)*(1-$A39/Inputs!$B$22),$G$5*(1+$A39))/(D$37-$A39)/(1+D$37)^(6-Inputs!$B$19)-Inputs!$B$8-Inputs!$B$9)/Inputs!$B$7/Inputs!$B$6)</f>
        <v>300.33344071783881</v>
      </c>
      <c r="E39" s="43">
        <f>IF(E$37&lt;=$A39,"n.m.",(SUMPRODUCT($B$5:$G$5,(1+E$37)^(-DCF!$B$6:$G$6))-$B$5*Inputs!$B$20*(1+E$37)^(-DCF!$B$6)+IF(Inputs!$B$21=1,Forecast!$H$14*(1+$A39)*(1-$A39/Inputs!$B$22),$G$5*(1+$A39))/(E$37-$A39)/(1+E$37)^(6-Inputs!$B$19)-Inputs!$B$8-Inputs!$B$9)/Inputs!$B$7/Inputs!$B$6)</f>
        <v>263.34790445264366</v>
      </c>
      <c r="F39" s="43">
        <f>IF(F$37&lt;=$A39,"n.m.",(SUMPRODUCT($B$5:$G$5,(1+F$37)^(-DCF!$B$6:$G$6))-$B$5*Inputs!$B$20*(1+F$37)^(-DCF!$B$6)+IF(Inputs!$B$21=1,Forecast!$H$14*(1+$A39)*(1-$A39/Inputs!$B$22),$G$5*(1+$A39))/(F$37-$A39)/(1+F$37)^(6-Inputs!$B$19)-Inputs!$B$8-Inputs!$B$9)/Inputs!$B$7/Inputs!$B$6)</f>
        <v>232.97999676628189</v>
      </c>
      <c r="G39" s="43">
        <f>IF(G$37&lt;=$A39,"n.m.",(SUMPRODUCT($B$5:$G$5,(1+G$37)^(-DCF!$B$6:$G$6))-$B$5*Inputs!$B$20*(1+G$37)^(-DCF!$B$6)+IF(Inputs!$B$21=1,Forecast!$H$14*(1+$A39)*(1-$A39/Inputs!$B$22),$G$5*(1+$A39))/(G$37-$A39)/(1+G$37)^(6-Inputs!$B$19)-Inputs!$B$8-Inputs!$B$9)/Inputs!$B$7/Inputs!$B$6)</f>
        <v>207.60537028097588</v>
      </c>
      <c r="H39" s="43">
        <f>IF(H$37&lt;=$A39,"n.m.",(SUMPRODUCT($B$5:$G$5,(1+H$37)^(-DCF!$B$6:$G$6))-$B$5*Inputs!$B$20*(1+H$37)^(-DCF!$B$6)+IF(Inputs!$B$21=1,Forecast!$H$14*(1+$A39)*(1-$A39/Inputs!$B$22),$G$5*(1+$A39))/(H$37-$A39)/(1+H$37)^(6-Inputs!$B$19)-Inputs!$B$8-Inputs!$B$9)/Inputs!$B$7/Inputs!$B$6)</f>
        <v>186.09091774725647</v>
      </c>
    </row>
    <row r="40" spans="1:8" x14ac:dyDescent="0.35">
      <c r="A40" s="42">
        <f>Inputs!$B$11+(-1)*0.0025</f>
        <v>1.7500000000000002E-2</v>
      </c>
      <c r="B40" s="43">
        <f>IF(B$37&lt;=$A40,"n.m.",(SUMPRODUCT($B$5:$G$5,(1+B$37)^(-DCF!$B$6:$G$6))-$B$5*Inputs!$B$20*(1+B$37)^(-DCF!$B$6)+IF(Inputs!$B$21=1,Forecast!$H$14*(1+$A40)*(1-$A40/Inputs!$B$22),$G$5*(1+$A40))/(B$37-$A40)/(1+B$37)^(6-Inputs!$B$19)-Inputs!$B$8-Inputs!$B$9)/Inputs!$B$7/Inputs!$B$6)</f>
        <v>436.21221899372415</v>
      </c>
      <c r="C40" s="43">
        <f>IF(C$37&lt;=$A40,"n.m.",(SUMPRODUCT($B$5:$G$5,(1+C$37)^(-DCF!$B$6:$G$6))-$B$5*Inputs!$B$20*(1+C$37)^(-DCF!$B$6)+IF(Inputs!$B$21=1,Forecast!$H$14*(1+$A40)*(1-$A40/Inputs!$B$22),$G$5*(1+$A40))/(C$37-$A40)/(1+C$37)^(6-Inputs!$B$19)-Inputs!$B$8-Inputs!$B$9)/Inputs!$B$7/Inputs!$B$6)</f>
        <v>369.62914355783505</v>
      </c>
      <c r="D40" s="43">
        <f>IF(D$37&lt;=$A40,"n.m.",(SUMPRODUCT($B$5:$G$5,(1+D$37)^(-DCF!$B$6:$G$6))-$B$5*Inputs!$B$20*(1+D$37)^(-DCF!$B$6)+IF(Inputs!$B$21=1,Forecast!$H$14*(1+$A40)*(1-$A40/Inputs!$B$22),$G$5*(1+$A40))/(D$37-$A40)/(1+D$37)^(6-Inputs!$B$19)-Inputs!$B$8-Inputs!$B$9)/Inputs!$B$7/Inputs!$B$6)</f>
        <v>318.34360426266846</v>
      </c>
      <c r="E40" s="43">
        <f>IF(E$37&lt;=$A40,"n.m.",(SUMPRODUCT($B$5:$G$5,(1+E$37)^(-DCF!$B$6:$G$6))-$B$5*Inputs!$B$20*(1+E$37)^(-DCF!$B$6)+IF(Inputs!$B$21=1,Forecast!$H$14*(1+$A40)*(1-$A40/Inputs!$B$22),$G$5*(1+$A40))/(E$37-$A40)/(1+E$37)^(6-Inputs!$B$19)-Inputs!$B$8-Inputs!$B$9)/Inputs!$B$7/Inputs!$B$6)</f>
        <v>277.63667602599043</v>
      </c>
      <c r="F40" s="43">
        <f>IF(F$37&lt;=$A40,"n.m.",(SUMPRODUCT($B$5:$G$5,(1+F$37)^(-DCF!$B$6:$G$6))-$B$5*Inputs!$B$20*(1+F$37)^(-DCF!$B$6)+IF(Inputs!$B$21=1,Forecast!$H$14*(1+$A40)*(1-$A40/Inputs!$B$22),$G$5*(1+$A40))/(F$37-$A40)/(1+F$37)^(6-Inputs!$B$19)-Inputs!$B$8-Inputs!$B$9)/Inputs!$B$7/Inputs!$B$6)</f>
        <v>244.54910260192798</v>
      </c>
      <c r="G40" s="43">
        <f>IF(G$37&lt;=$A40,"n.m.",(SUMPRODUCT($B$5:$G$5,(1+G$37)^(-DCF!$B$6:$G$6))-$B$5*Inputs!$B$20*(1+G$37)^(-DCF!$B$6)+IF(Inputs!$B$21=1,Forecast!$H$14*(1+$A40)*(1-$A40/Inputs!$B$22),$G$5*(1+$A40))/(G$37-$A40)/(1+G$37)^(6-Inputs!$B$19)-Inputs!$B$8-Inputs!$B$9)/Inputs!$B$7/Inputs!$B$6)</f>
        <v>217.13103141843672</v>
      </c>
      <c r="H40" s="43">
        <f>IF(H$37&lt;=$A40,"n.m.",(SUMPRODUCT($B$5:$G$5,(1+H$37)^(-DCF!$B$6:$G$6))-$B$5*Inputs!$B$20*(1+H$37)^(-DCF!$B$6)+IF(Inputs!$B$21=1,Forecast!$H$14*(1+$A40)*(1-$A40/Inputs!$B$22),$G$5*(1+$A40))/(H$37-$A40)/(1+H$37)^(6-Inputs!$B$19)-Inputs!$B$8-Inputs!$B$9)/Inputs!$B$7/Inputs!$B$6)</f>
        <v>194.04545269602343</v>
      </c>
    </row>
    <row r="41" spans="1:8" x14ac:dyDescent="0.35">
      <c r="A41" s="42">
        <f>Inputs!$B$11+(0)*0.0025</f>
        <v>0.02</v>
      </c>
      <c r="B41" s="43">
        <f>IF(B$37&lt;=$A41,"n.m.",(SUMPRODUCT($B$5:$G$5,(1+B$37)^(-DCF!$B$6:$G$6))-$B$5*Inputs!$B$20*(1+B$37)^(-DCF!$B$6)+IF(Inputs!$B$21=1,Forecast!$H$14*(1+$A41)*(1-$A41/Inputs!$B$22),$G$5*(1+$A41))/(B$37-$A41)/(1+B$37)^(6-Inputs!$B$19)-Inputs!$B$8-Inputs!$B$9)/Inputs!$B$7/Inputs!$B$6)</f>
        <v>472.26254131856052</v>
      </c>
      <c r="C41" s="43">
        <f>IF(C$37&lt;=$A41,"n.m.",(SUMPRODUCT($B$5:$G$5,(1+C$37)^(-DCF!$B$6:$G$6))-$B$5*Inputs!$B$20*(1+C$37)^(-DCF!$B$6)+IF(Inputs!$B$21=1,Forecast!$H$14*(1+$A41)*(1-$A41/Inputs!$B$22),$G$5*(1+$A41))/(C$37-$A41)/(1+C$37)^(6-Inputs!$B$19)-Inputs!$B$8-Inputs!$B$9)/Inputs!$B$7/Inputs!$B$6)</f>
        <v>396.12857451985167</v>
      </c>
      <c r="D41" s="43">
        <f>IF(D$37&lt;=$A41,"n.m.",(SUMPRODUCT($B$5:$G$5,(1+D$37)^(-DCF!$B$6:$G$6))-$B$5*Inputs!$B$20*(1+D$37)^(-DCF!$B$6)+IF(Inputs!$B$21=1,Forecast!$H$14*(1+$A41)*(1-$A41/Inputs!$B$22),$G$5*(1+$A41))/(D$37-$A41)/(1+D$37)^(6-Inputs!$B$19)-Inputs!$B$8-Inputs!$B$9)/Inputs!$B$7/Inputs!$B$6)</f>
        <v>338.54292332633821</v>
      </c>
      <c r="E41" s="44">
        <f>IF(E$37&lt;=$A41,"n.m.",(SUMPRODUCT($B$5:$G$5,(1+E$37)^(-DCF!$B$6:$G$6))-$B$5*Inputs!$B$20*(1+E$37)^(-DCF!$B$6)+IF(Inputs!$B$21=1,Forecast!$H$14*(1+$A41)*(1-$A41/Inputs!$B$22),$G$5*(1+$A41))/(E$37-$A41)/(1+E$37)^(6-Inputs!$B$19)-Inputs!$B$8-Inputs!$B$9)/Inputs!$B$7/Inputs!$B$6)</f>
        <v>293.47403164064281</v>
      </c>
      <c r="F41" s="43">
        <f>IF(F$37&lt;=$A41,"n.m.",(SUMPRODUCT($B$5:$G$5,(1+F$37)^(-DCF!$B$6:$G$6))-$B$5*Inputs!$B$20*(1+F$37)^(-DCF!$B$6)+IF(Inputs!$B$21=1,Forecast!$H$14*(1+$A41)*(1-$A41/Inputs!$B$22),$G$5*(1+$A41))/(F$37-$A41)/(1+F$37)^(6-Inputs!$B$19)-Inputs!$B$8-Inputs!$B$9)/Inputs!$B$7/Inputs!$B$6)</f>
        <v>257.2494410186423</v>
      </c>
      <c r="G41" s="43">
        <f>IF(G$37&lt;=$A41,"n.m.",(SUMPRODUCT($B$5:$G$5,(1+G$37)^(-DCF!$B$6:$G$6))-$B$5*Inputs!$B$20*(1+G$37)^(-DCF!$B$6)+IF(Inputs!$B$21=1,Forecast!$H$14*(1+$A41)*(1-$A41/Inputs!$B$22),$G$5*(1+$A41))/(G$37-$A41)/(1+G$37)^(6-Inputs!$B$19)-Inputs!$B$8-Inputs!$B$9)/Inputs!$B$7/Inputs!$B$6)</f>
        <v>227.50515327256065</v>
      </c>
      <c r="H41" s="43">
        <f>IF(H$37&lt;=$A41,"n.m.",(SUMPRODUCT($B$5:$G$5,(1+H$37)^(-DCF!$B$6:$G$6))-$B$5*Inputs!$B$20*(1+H$37)^(-DCF!$B$6)+IF(Inputs!$B$21=1,Forecast!$H$14*(1+$A41)*(1-$A41/Inputs!$B$22),$G$5*(1+$A41))/(H$37-$A41)/(1+H$37)^(6-Inputs!$B$19)-Inputs!$B$8-Inputs!$B$9)/Inputs!$B$7/Inputs!$B$6)</f>
        <v>202.65055937686134</v>
      </c>
    </row>
    <row r="42" spans="1:8" x14ac:dyDescent="0.35">
      <c r="A42" s="42">
        <f>Inputs!$B$11+(1)*0.0025</f>
        <v>2.2499999999999999E-2</v>
      </c>
      <c r="B42" s="43">
        <f>IF(B$37&lt;=$A42,"n.m.",(SUMPRODUCT($B$5:$G$5,(1+B$37)^(-DCF!$B$6:$G$6))-$B$5*Inputs!$B$20*(1+B$37)^(-DCF!$B$6)+IF(Inputs!$B$21=1,Forecast!$H$14*(1+$A42)*(1-$A42/Inputs!$B$22),$G$5*(1+$A42))/(B$37-$A42)/(1+B$37)^(6-Inputs!$B$19)-Inputs!$B$8-Inputs!$B$9)/Inputs!$B$7/Inputs!$B$6)</f>
        <v>514.60767361297872</v>
      </c>
      <c r="C42" s="43">
        <f>IF(C$37&lt;=$A42,"n.m.",(SUMPRODUCT($B$5:$G$5,(1+C$37)^(-DCF!$B$6:$G$6))-$B$5*Inputs!$B$20*(1+C$37)^(-DCF!$B$6)+IF(Inputs!$B$21=1,Forecast!$H$14*(1+$A42)*(1-$A42/Inputs!$B$22),$G$5*(1+$A42))/(C$37-$A42)/(1+C$37)^(6-Inputs!$B$19)-Inputs!$B$8-Inputs!$B$9)/Inputs!$B$7/Inputs!$B$6)</f>
        <v>426.567274842232</v>
      </c>
      <c r="D42" s="43">
        <f>IF(D$37&lt;=$A42,"n.m.",(SUMPRODUCT($B$5:$G$5,(1+D$37)^(-DCF!$B$6:$G$6))-$B$5*Inputs!$B$20*(1+D$37)^(-DCF!$B$6)+IF(Inputs!$B$21=1,Forecast!$H$14*(1+$A42)*(1-$A42/Inputs!$B$22),$G$5*(1+$A42))/(D$37-$A42)/(1+D$37)^(6-Inputs!$B$19)-Inputs!$B$8-Inputs!$B$9)/Inputs!$B$7/Inputs!$B$6)</f>
        <v>361.35636710114829</v>
      </c>
      <c r="E42" s="43">
        <f>IF(E$37&lt;=$A42,"n.m.",(SUMPRODUCT($B$5:$G$5,(1+E$37)^(-DCF!$B$6:$G$6))-$B$5*Inputs!$B$20*(1+E$37)^(-DCF!$B$6)+IF(Inputs!$B$21=1,Forecast!$H$14*(1+$A42)*(1-$A42/Inputs!$B$22),$G$5*(1+$A42))/(E$37-$A42)/(1+E$37)^(6-Inputs!$B$19)-Inputs!$B$8-Inputs!$B$9)/Inputs!$B$7/Inputs!$B$6)</f>
        <v>311.12614275998959</v>
      </c>
      <c r="F42" s="43">
        <f>IF(F$37&lt;=$A42,"n.m.",(SUMPRODUCT($B$5:$G$5,(1+F$37)^(-DCF!$B$6:$G$6))-$B$5*Inputs!$B$20*(1+F$37)^(-DCF!$B$6)+IF(Inputs!$B$21=1,Forecast!$H$14*(1+$A42)*(1-$A42/Inputs!$B$22),$G$5*(1+$A42))/(F$37-$A42)/(1+F$37)^(6-Inputs!$B$19)-Inputs!$B$8-Inputs!$B$9)/Inputs!$B$7/Inputs!$B$6)</f>
        <v>271.25545946973807</v>
      </c>
      <c r="G42" s="43">
        <f>IF(G$37&lt;=$A42,"n.m.",(SUMPRODUCT($B$5:$G$5,(1+G$37)^(-DCF!$B$6:$G$6))-$B$5*Inputs!$B$20*(1+G$37)^(-DCF!$B$6)+IF(Inputs!$B$21=1,Forecast!$H$14*(1+$A42)*(1-$A42/Inputs!$B$22),$G$5*(1+$A42))/(G$37-$A42)/(1+G$37)^(6-Inputs!$B$19)-Inputs!$B$8-Inputs!$B$9)/Inputs!$B$7/Inputs!$B$6)</f>
        <v>238.84637964867755</v>
      </c>
      <c r="H42" s="43">
        <f>IF(H$37&lt;=$A42,"n.m.",(SUMPRODUCT($B$5:$G$5,(1+H$37)^(-DCF!$B$6:$G$6))-$B$5*Inputs!$B$20*(1+H$37)^(-DCF!$B$6)+IF(Inputs!$B$21=1,Forecast!$H$14*(1+$A42)*(1-$A42/Inputs!$B$22),$G$5*(1+$A42))/(H$37-$A42)/(1+H$37)^(6-Inputs!$B$19)-Inputs!$B$8-Inputs!$B$9)/Inputs!$B$7/Inputs!$B$6)</f>
        <v>211.98945244968897</v>
      </c>
    </row>
    <row r="43" spans="1:8" x14ac:dyDescent="0.35">
      <c r="A43" s="42">
        <f>Inputs!$B$11+(2)*0.0025</f>
        <v>2.5000000000000001E-2</v>
      </c>
      <c r="B43" s="43">
        <f>IF(B$37&lt;=$A43,"n.m.",(SUMPRODUCT($B$5:$G$5,(1+B$37)^(-DCF!$B$6:$G$6))-$B$5*Inputs!$B$20*(1+B$37)^(-DCF!$B$6)+IF(Inputs!$B$21=1,Forecast!$H$14*(1+$A43)*(1-$A43/Inputs!$B$22),$G$5*(1+$A43))/(B$37-$A43)/(1+B$37)^(6-Inputs!$B$19)-Inputs!$B$8-Inputs!$B$9)/Inputs!$B$7/Inputs!$B$6)</f>
        <v>565.05404988450016</v>
      </c>
      <c r="C43" s="43">
        <f>IF(C$37&lt;=$A43,"n.m.",(SUMPRODUCT($B$5:$G$5,(1+C$37)^(-DCF!$B$6:$G$6))-$B$5*Inputs!$B$20*(1+C$37)^(-DCF!$B$6)+IF(Inputs!$B$21=1,Forecast!$H$14*(1+$A43)*(1-$A43/Inputs!$B$22),$G$5*(1+$A43))/(C$37-$A43)/(1+C$37)^(6-Inputs!$B$19)-Inputs!$B$8-Inputs!$B$9)/Inputs!$B$7/Inputs!$B$6)</f>
        <v>461.89416250100868</v>
      </c>
      <c r="D43" s="43">
        <f>IF(D$37&lt;=$A43,"n.m.",(SUMPRODUCT($B$5:$G$5,(1+D$37)^(-DCF!$B$6:$G$6))-$B$5*Inputs!$B$20*(1+D$37)^(-DCF!$B$6)+IF(Inputs!$B$21=1,Forecast!$H$14*(1+$A43)*(1-$A43/Inputs!$B$22),$G$5*(1+$A43))/(D$37-$A43)/(1+D$37)^(6-Inputs!$B$19)-Inputs!$B$8-Inputs!$B$9)/Inputs!$B$7/Inputs!$B$6)</f>
        <v>387.32651089540968</v>
      </c>
      <c r="E43" s="43">
        <f>IF(E$37&lt;=$A43,"n.m.",(SUMPRODUCT($B$5:$G$5,(1+E$37)^(-DCF!$B$6:$G$6))-$B$5*Inputs!$B$20*(1+E$37)^(-DCF!$B$6)+IF(Inputs!$B$21=1,Forecast!$H$14*(1+$A43)*(1-$A43/Inputs!$B$22),$G$5*(1+$A43))/(E$37-$A43)/(1+E$37)^(6-Inputs!$B$19)-Inputs!$B$8-Inputs!$B$9)/Inputs!$B$7/Inputs!$B$6)</f>
        <v>330.92388772546531</v>
      </c>
      <c r="F43" s="43">
        <f>IF(F$37&lt;=$A43,"n.m.",(SUMPRODUCT($B$5:$G$5,(1+F$37)^(-DCF!$B$6:$G$6))-$B$5*Inputs!$B$20*(1+F$37)^(-DCF!$B$6)+IF(Inputs!$B$21=1,Forecast!$H$14*(1+$A43)*(1-$A43/Inputs!$B$22),$G$5*(1+$A43))/(F$37-$A43)/(1+F$37)^(6-Inputs!$B$19)-Inputs!$B$8-Inputs!$B$9)/Inputs!$B$7/Inputs!$B$6)</f>
        <v>286.77941783220166</v>
      </c>
      <c r="G43" s="43">
        <f>IF(G$37&lt;=$A43,"n.m.",(SUMPRODUCT($B$5:$G$5,(1+G$37)^(-DCF!$B$6:$G$6))-$B$5*Inputs!$B$20*(1+G$37)^(-DCF!$B$6)+IF(Inputs!$B$21=1,Forecast!$H$14*(1+$A43)*(1-$A43/Inputs!$B$22),$G$5*(1+$A43))/(G$37-$A43)/(1+G$37)^(6-Inputs!$B$19)-Inputs!$B$8-Inputs!$B$9)/Inputs!$B$7/Inputs!$B$6)</f>
        <v>251.29655644569937</v>
      </c>
      <c r="H43" s="43">
        <f>IF(H$37&lt;=$A43,"n.m.",(SUMPRODUCT($B$5:$G$5,(1+H$37)^(-DCF!$B$6:$G$6))-$B$5*Inputs!$B$20*(1+H$37)^(-DCF!$B$6)+IF(Inputs!$B$21=1,Forecast!$H$14*(1+$A43)*(1-$A43/Inputs!$B$22),$G$5*(1+$A43))/(H$37-$A43)/(1+H$37)^(6-Inputs!$B$19)-Inputs!$B$8-Inputs!$B$9)/Inputs!$B$7/Inputs!$B$6)</f>
        <v>222.16017061004277</v>
      </c>
    </row>
    <row r="44" spans="1:8" x14ac:dyDescent="0.35">
      <c r="A44" s="42">
        <f>Inputs!$B$11+(3)*0.0025</f>
        <v>2.75E-2</v>
      </c>
      <c r="B44" s="43">
        <f>IF(B$37&lt;=$A44,"n.m.",(SUMPRODUCT($B$5:$G$5,(1+B$37)^(-DCF!$B$6:$G$6))-$B$5*Inputs!$B$20*(1+B$37)^(-DCF!$B$6)+IF(Inputs!$B$21=1,Forecast!$H$14*(1+$A44)*(1-$A44/Inputs!$B$22),$G$5*(1+$A44))/(B$37-$A44)/(1+B$37)^(6-Inputs!$B$19)-Inputs!$B$8-Inputs!$B$9)/Inputs!$B$7/Inputs!$B$6)</f>
        <v>626.17241017336869</v>
      </c>
      <c r="C44" s="43">
        <f>IF(C$37&lt;=$A44,"n.m.",(SUMPRODUCT($B$5:$G$5,(1+C$37)^(-DCF!$B$6:$G$6))-$B$5*Inputs!$B$20*(1+C$37)^(-DCF!$B$6)+IF(Inputs!$B$21=1,Forecast!$H$14*(1+$A44)*(1-$A44/Inputs!$B$22),$G$5*(1+$A44))/(C$37-$A44)/(1+C$37)^(6-Inputs!$B$19)-Inputs!$B$8-Inputs!$B$9)/Inputs!$B$7/Inputs!$B$6)</f>
        <v>503.38953993430158</v>
      </c>
      <c r="D44" s="43">
        <f>IF(D$37&lt;=$A44,"n.m.",(SUMPRODUCT($B$5:$G$5,(1+D$37)^(-DCF!$B$6:$G$6))-$B$5*Inputs!$B$20*(1+D$37)^(-DCF!$B$6)+IF(Inputs!$B$21=1,Forecast!$H$14*(1+$A44)*(1-$A44/Inputs!$B$22),$G$5*(1+$A44))/(D$37-$A44)/(1+D$37)^(6-Inputs!$B$19)-Inputs!$B$8-Inputs!$B$9)/Inputs!$B$7/Inputs!$B$6)</f>
        <v>417.15724293700418</v>
      </c>
      <c r="E44" s="43">
        <f>IF(E$37&lt;=$A44,"n.m.",(SUMPRODUCT($B$5:$G$5,(1+E$37)^(-DCF!$B$6:$G$6))-$B$5*Inputs!$B$20*(1+E$37)^(-DCF!$B$6)+IF(Inputs!$B$21=1,Forecast!$H$14*(1+$A44)*(1-$A44/Inputs!$B$22),$G$5*(1+$A44))/(E$37-$A44)/(1+E$37)^(6-Inputs!$B$19)-Inputs!$B$8-Inputs!$B$9)/Inputs!$B$7/Inputs!$B$6)</f>
        <v>353.28378709703628</v>
      </c>
      <c r="F44" s="43">
        <f>IF(F$37&lt;=$A44,"n.m.",(SUMPRODUCT($B$5:$G$5,(1+F$37)^(-DCF!$B$6:$G$6))-$B$5*Inputs!$B$20*(1+F$37)^(-DCF!$B$6)+IF(Inputs!$B$21=1,Forecast!$H$14*(1+$A44)*(1-$A44/Inputs!$B$22),$G$5*(1+$A44))/(F$37-$A44)/(1+F$37)^(6-Inputs!$B$19)-Inputs!$B$8-Inputs!$B$9)/Inputs!$B$7/Inputs!$B$6)</f>
        <v>304.08222043977815</v>
      </c>
      <c r="G44" s="43">
        <f>IF(G$37&lt;=$A44,"n.m.",(SUMPRODUCT($B$5:$G$5,(1+G$37)^(-DCF!$B$6:$G$6))-$B$5*Inputs!$B$20*(1+G$37)^(-DCF!$B$6)+IF(Inputs!$B$21=1,Forecast!$H$14*(1+$A44)*(1-$A44/Inputs!$B$22),$G$5*(1+$A44))/(G$37-$A44)/(1+G$37)^(6-Inputs!$B$19)-Inputs!$B$8-Inputs!$B$9)/Inputs!$B$7/Inputs!$B$6)</f>
        <v>265.0266949835044</v>
      </c>
      <c r="H44" s="43">
        <f>IF(H$37&lt;=$A44,"n.m.",(SUMPRODUCT($B$5:$G$5,(1+H$37)^(-DCF!$B$6:$G$6))-$B$5*Inputs!$B$20*(1+H$37)^(-DCF!$B$6)+IF(Inputs!$B$21=1,Forecast!$H$14*(1+$A44)*(1-$A44/Inputs!$B$22),$G$5*(1+$A44))/(H$37-$A44)/(1+H$37)^(6-Inputs!$B$19)-Inputs!$B$8-Inputs!$B$9)/Inputs!$B$7/Inputs!$B$6)</f>
        <v>233.2790314337569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5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0" customWidth="1"/>
    <col min="2" max="10" width="13" customWidth="1"/>
  </cols>
  <sheetData>
    <row r="1" spans="1:10" ht="18" x14ac:dyDescent="0.4">
      <c r="A1" s="1" t="s">
        <v>156</v>
      </c>
    </row>
    <row r="2" spans="1:10" x14ac:dyDescent="0.35">
      <c r="A2" s="2" t="s">
        <v>157</v>
      </c>
    </row>
    <row r="4" spans="1:10" x14ac:dyDescent="0.35">
      <c r="A4" s="13" t="s">
        <v>158</v>
      </c>
      <c r="B4" s="14" t="s">
        <v>159</v>
      </c>
      <c r="C4" s="14" t="s">
        <v>160</v>
      </c>
      <c r="D4" s="14" t="s">
        <v>161</v>
      </c>
      <c r="E4" s="14" t="s">
        <v>162</v>
      </c>
      <c r="F4" s="14" t="s">
        <v>163</v>
      </c>
      <c r="G4" s="14" t="s">
        <v>10</v>
      </c>
      <c r="H4" s="14" t="s">
        <v>11</v>
      </c>
      <c r="I4" s="14" t="s">
        <v>164</v>
      </c>
      <c r="J4" s="14" t="s">
        <v>165</v>
      </c>
    </row>
    <row r="5" spans="1:10" x14ac:dyDescent="0.35">
      <c r="A5" s="3" t="s">
        <v>166</v>
      </c>
      <c r="B5" s="19">
        <v>0.25</v>
      </c>
      <c r="C5" s="19">
        <v>-0.02</v>
      </c>
      <c r="D5" s="19">
        <v>-1.4999999999999999E-2</v>
      </c>
      <c r="E5" s="21">
        <v>5.0000000000000001E-3</v>
      </c>
      <c r="F5" s="21">
        <v>-2.5000000000000001E-3</v>
      </c>
      <c r="G5" s="34">
        <f>WACC!$B$17+E5</f>
        <v>7.1134956812867245E-2</v>
      </c>
      <c r="H5" s="34">
        <f>Inputs!$B$11+F5</f>
        <v>1.7500000000000002E-2</v>
      </c>
      <c r="I5" s="45">
        <f>B25</f>
        <v>208.01163397902366</v>
      </c>
      <c r="J5" s="35">
        <f>I5/Inputs!$B$5-1</f>
        <v>7.388556519888323E-2</v>
      </c>
    </row>
    <row r="6" spans="1:10" x14ac:dyDescent="0.35">
      <c r="A6" s="3" t="s">
        <v>167</v>
      </c>
      <c r="B6" s="19">
        <v>0.5</v>
      </c>
      <c r="C6" s="19">
        <v>0</v>
      </c>
      <c r="D6" s="19">
        <v>0</v>
      </c>
      <c r="E6" s="21">
        <v>0</v>
      </c>
      <c r="F6" s="21">
        <v>0</v>
      </c>
      <c r="G6" s="34">
        <f>WACC!$B$17+E6</f>
        <v>6.613495681286724E-2</v>
      </c>
      <c r="H6" s="34">
        <f>Inputs!$B$11+F6</f>
        <v>0.02</v>
      </c>
      <c r="I6" s="45">
        <f>B40</f>
        <v>293.47403164064281</v>
      </c>
      <c r="J6" s="35">
        <f>I6/Inputs!$B$5-1</f>
        <v>0.51509567186702543</v>
      </c>
    </row>
    <row r="7" spans="1:10" x14ac:dyDescent="0.35">
      <c r="A7" s="3" t="s">
        <v>168</v>
      </c>
      <c r="B7" s="19">
        <v>0.25</v>
      </c>
      <c r="C7" s="19">
        <v>0.02</v>
      </c>
      <c r="D7" s="19">
        <v>1.4999999999999999E-2</v>
      </c>
      <c r="E7" s="21">
        <v>-5.0000000000000001E-3</v>
      </c>
      <c r="F7" s="21">
        <v>2.5000000000000001E-3</v>
      </c>
      <c r="G7" s="34">
        <f>WACC!$B$17+E7</f>
        <v>6.1134956812867243E-2</v>
      </c>
      <c r="H7" s="34">
        <f>Inputs!$B$11+F7</f>
        <v>2.2499999999999999E-2</v>
      </c>
      <c r="I7" s="45">
        <f>B55</f>
        <v>419.77508637267641</v>
      </c>
      <c r="J7" s="35">
        <f>I7/Inputs!$B$5-1</f>
        <v>1.1671403529823254</v>
      </c>
    </row>
    <row r="8" spans="1:10" x14ac:dyDescent="0.35">
      <c r="A8" s="3" t="s">
        <v>169</v>
      </c>
      <c r="B8" s="40">
        <f>SUM(B5:B7)</f>
        <v>1</v>
      </c>
      <c r="I8" s="39">
        <f>IFERROR(SUMPRODUCT(B5:B7,I5:I7)/B8,"")</f>
        <v>303.68369590824642</v>
      </c>
      <c r="J8" s="40">
        <f>IFERROR(I8/Inputs!$B$5-1,"")</f>
        <v>0.56780431547881483</v>
      </c>
    </row>
    <row r="12" spans="1:10" x14ac:dyDescent="0.35">
      <c r="A12" s="9" t="s">
        <v>170</v>
      </c>
      <c r="B12" s="46" t="str">
        <f>Forecast!B4</f>
        <v>2025A</v>
      </c>
      <c r="C12" s="14" t="s">
        <v>70</v>
      </c>
      <c r="D12" s="14" t="s">
        <v>71</v>
      </c>
      <c r="E12" s="14" t="s">
        <v>72</v>
      </c>
      <c r="F12" s="14" t="s">
        <v>73</v>
      </c>
      <c r="G12" s="14" t="s">
        <v>74</v>
      </c>
      <c r="H12" s="14" t="s">
        <v>75</v>
      </c>
    </row>
    <row r="13" spans="1:10" x14ac:dyDescent="0.35">
      <c r="A13" s="26" t="s">
        <v>76</v>
      </c>
      <c r="C13" s="27">
        <f>Inputs!B33+$C$5</f>
        <v>9.6299999999999997E-2</v>
      </c>
      <c r="D13" s="27">
        <f>Inputs!C33+$C$5</f>
        <v>5.6099999999999997E-2</v>
      </c>
      <c r="E13" s="27">
        <f>Inputs!D33+$C$5</f>
        <v>4.2075000000000015E-2</v>
      </c>
      <c r="F13" s="27">
        <f>Inputs!E33+$C$5</f>
        <v>2.8050000000000002E-2</v>
      </c>
      <c r="G13" s="27">
        <f>Inputs!F33+$C$5</f>
        <v>1.4024999999999999E-2</v>
      </c>
      <c r="H13" s="27">
        <f>Inputs!G33+$C$5</f>
        <v>0</v>
      </c>
    </row>
    <row r="14" spans="1:10" x14ac:dyDescent="0.35">
      <c r="A14" s="3" t="s">
        <v>90</v>
      </c>
      <c r="B14" s="32">
        <f>Forecast!B6</f>
        <v>5688.7</v>
      </c>
      <c r="C14" s="28">
        <f t="shared" ref="C14:H14" si="0">B14*(1+C13)</f>
        <v>6236.5218100000002</v>
      </c>
      <c r="D14" s="28">
        <f t="shared" si="0"/>
        <v>6586.3906835410007</v>
      </c>
      <c r="E14" s="28">
        <f t="shared" si="0"/>
        <v>6863.5130715509886</v>
      </c>
      <c r="F14" s="28">
        <f t="shared" si="0"/>
        <v>7056.0346132079931</v>
      </c>
      <c r="G14" s="28">
        <f t="shared" si="0"/>
        <v>7154.9954986582352</v>
      </c>
      <c r="H14" s="28">
        <f t="shared" si="0"/>
        <v>7154.9954986582352</v>
      </c>
    </row>
    <row r="15" spans="1:10" x14ac:dyDescent="0.35">
      <c r="A15" s="26" t="s">
        <v>77</v>
      </c>
      <c r="C15" s="27">
        <f>Inputs!B34+$D$5</f>
        <v>0.19277620198107293</v>
      </c>
      <c r="D15" s="27">
        <f>Inputs!C34+$D$5</f>
        <v>0.19147322066895051</v>
      </c>
      <c r="E15" s="27">
        <f>Inputs!D34+$D$5</f>
        <v>0.1901702393568282</v>
      </c>
      <c r="F15" s="27">
        <f>Inputs!E34+$D$5</f>
        <v>0.18886725804470578</v>
      </c>
      <c r="G15" s="27">
        <f>Inputs!F34+$D$5</f>
        <v>0.18756427673258341</v>
      </c>
      <c r="H15" s="27">
        <f>Inputs!G34+$D$5</f>
        <v>0.18626129542046099</v>
      </c>
    </row>
    <row r="16" spans="1:10" x14ac:dyDescent="0.35">
      <c r="A16" s="3" t="s">
        <v>94</v>
      </c>
      <c r="C16" s="28">
        <f t="shared" ref="C16:H16" si="1">C14*C15</f>
        <v>1202.2529881039266</v>
      </c>
      <c r="D16" s="28">
        <f t="shared" si="1"/>
        <v>1261.1174367615658</v>
      </c>
      <c r="E16" s="28">
        <f t="shared" si="1"/>
        <v>1305.2359236455707</v>
      </c>
      <c r="F16" s="28">
        <f t="shared" si="1"/>
        <v>1332.6539100651298</v>
      </c>
      <c r="G16" s="28">
        <f t="shared" si="1"/>
        <v>1342.021555730722</v>
      </c>
      <c r="H16" s="28">
        <f t="shared" si="1"/>
        <v>1332.6987303076501</v>
      </c>
    </row>
    <row r="17" spans="1:8" x14ac:dyDescent="0.35">
      <c r="A17" s="11" t="s">
        <v>97</v>
      </c>
      <c r="C17" s="29">
        <f>C14*Inputs!B35</f>
        <v>254.9086630795569</v>
      </c>
      <c r="D17" s="29">
        <f>D14*Inputs!C35</f>
        <v>269.20903907832007</v>
      </c>
      <c r="E17" s="29">
        <f>E14*Inputs!D35</f>
        <v>280.5360093975404</v>
      </c>
      <c r="F17" s="29">
        <f>F14*Inputs!E35</f>
        <v>288.40504446114136</v>
      </c>
      <c r="G17" s="29">
        <f>G14*Inputs!F35</f>
        <v>292.44992520970885</v>
      </c>
      <c r="H17" s="29">
        <f>H14*Inputs!G35</f>
        <v>292.44992520970885</v>
      </c>
    </row>
    <row r="18" spans="1:8" x14ac:dyDescent="0.35">
      <c r="A18" s="11" t="s">
        <v>98</v>
      </c>
      <c r="C18" s="29">
        <f t="shared" ref="C18:H18" si="2">C16-C17</f>
        <v>947.34432502436971</v>
      </c>
      <c r="D18" s="29">
        <f t="shared" si="2"/>
        <v>991.90839768324577</v>
      </c>
      <c r="E18" s="29">
        <f t="shared" si="2"/>
        <v>1024.6999142480304</v>
      </c>
      <c r="F18" s="29">
        <f t="shared" si="2"/>
        <v>1044.2488656039884</v>
      </c>
      <c r="G18" s="29">
        <f t="shared" si="2"/>
        <v>1049.571630521013</v>
      </c>
      <c r="H18" s="29">
        <f t="shared" si="2"/>
        <v>1040.2488050979412</v>
      </c>
    </row>
    <row r="19" spans="1:8" x14ac:dyDescent="0.35">
      <c r="A19" s="11" t="s">
        <v>117</v>
      </c>
      <c r="C19" s="29">
        <f>-MAX(C18,0)*Inputs!$B$10</f>
        <v>-208.41575150536133</v>
      </c>
      <c r="D19" s="29">
        <f>-MAX(D18,0)*Inputs!$B$10</f>
        <v>-218.21984749031407</v>
      </c>
      <c r="E19" s="29">
        <f>-MAX(E18,0)*Inputs!$B$10</f>
        <v>-225.43398113456669</v>
      </c>
      <c r="F19" s="29">
        <f>-MAX(F18,0)*Inputs!$B$10</f>
        <v>-229.73475043287746</v>
      </c>
      <c r="G19" s="29">
        <f>-MAX(G18,0)*Inputs!$B$10</f>
        <v>-230.90575871462286</v>
      </c>
      <c r="H19" s="29">
        <f>-MAX(H18,0)*Inputs!$B$10</f>
        <v>-228.85473712154706</v>
      </c>
    </row>
    <row r="20" spans="1:8" x14ac:dyDescent="0.35">
      <c r="A20" s="11" t="s">
        <v>101</v>
      </c>
      <c r="C20" s="29">
        <f t="shared" ref="C20:H20" si="3">C18+C19</f>
        <v>738.92857351900841</v>
      </c>
      <c r="D20" s="29">
        <f t="shared" si="3"/>
        <v>773.68855019293164</v>
      </c>
      <c r="E20" s="29">
        <f t="shared" si="3"/>
        <v>799.26593311346369</v>
      </c>
      <c r="F20" s="29">
        <f t="shared" si="3"/>
        <v>814.51411517111092</v>
      </c>
      <c r="G20" s="29">
        <f t="shared" si="3"/>
        <v>818.66587180639021</v>
      </c>
      <c r="H20" s="29">
        <f t="shared" si="3"/>
        <v>811.39406797639413</v>
      </c>
    </row>
    <row r="21" spans="1:8" x14ac:dyDescent="0.35">
      <c r="A21" s="11" t="s">
        <v>102</v>
      </c>
      <c r="C21" s="29">
        <f>-C14*Inputs!B36</f>
        <v>-427.60886146901316</v>
      </c>
      <c r="D21" s="29">
        <f>-D14*Inputs!C36</f>
        <v>-417.81207308438712</v>
      </c>
      <c r="E21" s="29">
        <f>-E14*Inputs!D36</f>
        <v>-400.18433951141384</v>
      </c>
      <c r="F21" s="29">
        <f>-F14*Inputs!E36</f>
        <v>-375.21477238453878</v>
      </c>
      <c r="G21" s="29">
        <f>-G14*Inputs!F36</f>
        <v>-343.77479051871313</v>
      </c>
      <c r="H21" s="29">
        <f>-H14*Inputs!G36</f>
        <v>-307.0724214701944</v>
      </c>
    </row>
    <row r="22" spans="1:8" x14ac:dyDescent="0.35">
      <c r="A22" s="11" t="s">
        <v>103</v>
      </c>
      <c r="C22" s="29">
        <f>-Inputs!B37*(C14-B14)</f>
        <v>-271.28444741631529</v>
      </c>
      <c r="D22" s="29">
        <f>-Inputs!C37*(D14-C14)</f>
        <v>-173.25703777061918</v>
      </c>
      <c r="E22" s="29">
        <f>-Inputs!D37*(E14-D14)</f>
        <v>-137.23256819216311</v>
      </c>
      <c r="F22" s="29">
        <f>-Inputs!E37*(F14-E14)</f>
        <v>-95.337752332565145</v>
      </c>
      <c r="G22" s="29">
        <f>-Inputs!F37*(G14-F14)</f>
        <v>-49.005988142746993</v>
      </c>
      <c r="H22" s="29">
        <f>-Inputs!G37*(H14-G14)</f>
        <v>0</v>
      </c>
    </row>
    <row r="23" spans="1:8" x14ac:dyDescent="0.35">
      <c r="A23" s="3" t="s">
        <v>104</v>
      </c>
      <c r="C23" s="28">
        <f t="shared" ref="C23:H23" si="4">C20+C17+C21+C22</f>
        <v>294.94392771323692</v>
      </c>
      <c r="D23" s="28">
        <f t="shared" si="4"/>
        <v>451.8284784162455</v>
      </c>
      <c r="E23" s="28">
        <f t="shared" si="4"/>
        <v>542.38503480742725</v>
      </c>
      <c r="F23" s="28">
        <f t="shared" si="4"/>
        <v>632.36663491514844</v>
      </c>
      <c r="G23" s="28">
        <f t="shared" si="4"/>
        <v>718.33501835463892</v>
      </c>
      <c r="H23" s="28">
        <f t="shared" si="4"/>
        <v>796.77157171590864</v>
      </c>
    </row>
    <row r="24" spans="1:8" x14ac:dyDescent="0.35">
      <c r="A24" s="11" t="s">
        <v>142</v>
      </c>
      <c r="B24" s="29">
        <f>SUMPRODUCT($C$23:$H$23,(1+$G$5)^(-DCF!$B$6:$G$6))-$C$23*Inputs!$B$20*(1+$G$5)^(-DCF!$B$6)+IF(Inputs!$B$21=1,$H$20*(1+$H$5)*(1-$H$5/Inputs!$B$22),$H$23*(1+$H$5))/($G$5-$H$5)/(1+$G$5)^(6-Inputs!$B$19)</f>
        <v>13141.105069969288</v>
      </c>
    </row>
    <row r="25" spans="1:8" x14ac:dyDescent="0.35">
      <c r="A25" s="3" t="s">
        <v>164</v>
      </c>
      <c r="B25" s="45">
        <f>(B24-Inputs!$B$8-Inputs!$B$9)/Inputs!$B$7/Inputs!$B$6</f>
        <v>208.01163397902366</v>
      </c>
    </row>
    <row r="27" spans="1:8" x14ac:dyDescent="0.35">
      <c r="A27" s="9" t="s">
        <v>171</v>
      </c>
      <c r="B27" s="46" t="str">
        <f>Forecast!B4</f>
        <v>2025A</v>
      </c>
      <c r="C27" s="14" t="s">
        <v>70</v>
      </c>
      <c r="D27" s="14" t="s">
        <v>71</v>
      </c>
      <c r="E27" s="14" t="s">
        <v>72</v>
      </c>
      <c r="F27" s="14" t="s">
        <v>73</v>
      </c>
      <c r="G27" s="14" t="s">
        <v>74</v>
      </c>
      <c r="H27" s="14" t="s">
        <v>75</v>
      </c>
    </row>
    <row r="28" spans="1:8" x14ac:dyDescent="0.35">
      <c r="A28" s="26" t="s">
        <v>76</v>
      </c>
      <c r="C28" s="27">
        <f>Inputs!B33+$C$6</f>
        <v>0.1163</v>
      </c>
      <c r="D28" s="27">
        <f>Inputs!C33+$C$6</f>
        <v>7.6100000000000001E-2</v>
      </c>
      <c r="E28" s="27">
        <f>Inputs!D33+$C$6</f>
        <v>6.2075000000000012E-2</v>
      </c>
      <c r="F28" s="27">
        <f>Inputs!E33+$C$6</f>
        <v>4.8050000000000002E-2</v>
      </c>
      <c r="G28" s="27">
        <f>Inputs!F33+$C$6</f>
        <v>3.4025E-2</v>
      </c>
      <c r="H28" s="27">
        <f>Inputs!G33+$C$6</f>
        <v>0.02</v>
      </c>
    </row>
    <row r="29" spans="1:8" x14ac:dyDescent="0.35">
      <c r="A29" s="3" t="s">
        <v>90</v>
      </c>
      <c r="B29" s="32">
        <f>Forecast!B6</f>
        <v>5688.7</v>
      </c>
      <c r="C29" s="28">
        <f t="shared" ref="C29:H29" si="5">B29*(1+C28)</f>
        <v>6350.2958100000005</v>
      </c>
      <c r="D29" s="28">
        <f t="shared" si="5"/>
        <v>6833.5533211410011</v>
      </c>
      <c r="E29" s="28">
        <f t="shared" si="5"/>
        <v>7257.7461435508294</v>
      </c>
      <c r="F29" s="28">
        <f t="shared" si="5"/>
        <v>7606.480845748446</v>
      </c>
      <c r="G29" s="28">
        <f t="shared" si="5"/>
        <v>7865.2913565250365</v>
      </c>
      <c r="H29" s="28">
        <f t="shared" si="5"/>
        <v>8022.5971836555373</v>
      </c>
    </row>
    <row r="30" spans="1:8" x14ac:dyDescent="0.35">
      <c r="A30" s="26" t="s">
        <v>77</v>
      </c>
      <c r="C30" s="27">
        <f>Inputs!B34+$D$6</f>
        <v>0.20777620198107291</v>
      </c>
      <c r="D30" s="27">
        <f>Inputs!C34+$D$6</f>
        <v>0.20647322066895049</v>
      </c>
      <c r="E30" s="27">
        <f>Inputs!D34+$D$6</f>
        <v>0.20517023935682821</v>
      </c>
      <c r="F30" s="27">
        <f>Inputs!E34+$D$6</f>
        <v>0.20386725804470579</v>
      </c>
      <c r="G30" s="27">
        <f>Inputs!F34+$D$6</f>
        <v>0.2025642767325834</v>
      </c>
      <c r="H30" s="27">
        <f>Inputs!G34+$D$6</f>
        <v>0.20126129542046101</v>
      </c>
    </row>
    <row r="31" spans="1:8" x14ac:dyDescent="0.35">
      <c r="A31" s="3" t="s">
        <v>94</v>
      </c>
      <c r="C31" s="28">
        <f t="shared" ref="C31:H31" si="6">C29*C30</f>
        <v>1319.4403448581211</v>
      </c>
      <c r="D31" s="28">
        <f t="shared" si="6"/>
        <v>1410.9457628289854</v>
      </c>
      <c r="E31" s="28">
        <f t="shared" si="6"/>
        <v>1489.0735134634206</v>
      </c>
      <c r="F31" s="28">
        <f t="shared" si="6"/>
        <v>1550.7123933923103</v>
      </c>
      <c r="G31" s="28">
        <f t="shared" si="6"/>
        <v>1593.2270549255338</v>
      </c>
      <c r="H31" s="28">
        <f t="shared" si="6"/>
        <v>1614.6383018190556</v>
      </c>
    </row>
    <row r="32" spans="1:8" x14ac:dyDescent="0.35">
      <c r="A32" s="11" t="s">
        <v>97</v>
      </c>
      <c r="C32" s="29">
        <f>C29*Inputs!B35</f>
        <v>259.55900811430212</v>
      </c>
      <c r="D32" s="29">
        <f>D29*Inputs!C35</f>
        <v>279.31144863180049</v>
      </c>
      <c r="E32" s="29">
        <f>E29*Inputs!D35</f>
        <v>296.64970680561953</v>
      </c>
      <c r="F32" s="29">
        <f>F29*Inputs!E35</f>
        <v>310.90372521762953</v>
      </c>
      <c r="G32" s="29">
        <f>G29*Inputs!F35</f>
        <v>321.48222446815936</v>
      </c>
      <c r="H32" s="29">
        <f>H29*Inputs!G35</f>
        <v>327.91186895752253</v>
      </c>
    </row>
    <row r="33" spans="1:8" x14ac:dyDescent="0.35">
      <c r="A33" s="11" t="s">
        <v>98</v>
      </c>
      <c r="C33" s="29">
        <f t="shared" ref="C33:H33" si="7">C31-C32</f>
        <v>1059.881336743819</v>
      </c>
      <c r="D33" s="29">
        <f t="shared" si="7"/>
        <v>1131.6343141971849</v>
      </c>
      <c r="E33" s="29">
        <f t="shared" si="7"/>
        <v>1192.4238066578009</v>
      </c>
      <c r="F33" s="29">
        <f t="shared" si="7"/>
        <v>1239.8086681746809</v>
      </c>
      <c r="G33" s="29">
        <f t="shared" si="7"/>
        <v>1271.7448304573745</v>
      </c>
      <c r="H33" s="29">
        <f t="shared" si="7"/>
        <v>1286.7264328615331</v>
      </c>
    </row>
    <row r="34" spans="1:8" x14ac:dyDescent="0.35">
      <c r="A34" s="11" t="s">
        <v>117</v>
      </c>
      <c r="C34" s="29">
        <f>-MAX(C33,0)*Inputs!$B$10</f>
        <v>-233.17389408364019</v>
      </c>
      <c r="D34" s="29">
        <f>-MAX(D33,0)*Inputs!$B$10</f>
        <v>-248.9595491233807</v>
      </c>
      <c r="E34" s="29">
        <f>-MAX(E33,0)*Inputs!$B$10</f>
        <v>-262.33323746471621</v>
      </c>
      <c r="F34" s="29">
        <f>-MAX(F33,0)*Inputs!$B$10</f>
        <v>-272.7579069984298</v>
      </c>
      <c r="G34" s="29">
        <f>-MAX(G33,0)*Inputs!$B$10</f>
        <v>-279.78386270062242</v>
      </c>
      <c r="H34" s="29">
        <f>-MAX(H33,0)*Inputs!$B$10</f>
        <v>-283.0798152295373</v>
      </c>
    </row>
    <row r="35" spans="1:8" x14ac:dyDescent="0.35">
      <c r="A35" s="11" t="s">
        <v>101</v>
      </c>
      <c r="C35" s="29">
        <f t="shared" ref="C35:H35" si="8">C33+C34</f>
        <v>826.7074426601788</v>
      </c>
      <c r="D35" s="29">
        <f t="shared" si="8"/>
        <v>882.67476507380422</v>
      </c>
      <c r="E35" s="29">
        <f t="shared" si="8"/>
        <v>930.09056919308478</v>
      </c>
      <c r="F35" s="29">
        <f t="shared" si="8"/>
        <v>967.05076117625106</v>
      </c>
      <c r="G35" s="29">
        <f t="shared" si="8"/>
        <v>991.9609677567521</v>
      </c>
      <c r="H35" s="29">
        <f t="shared" si="8"/>
        <v>1003.6466176319958</v>
      </c>
    </row>
    <row r="36" spans="1:8" x14ac:dyDescent="0.35">
      <c r="A36" s="11" t="s">
        <v>102</v>
      </c>
      <c r="C36" s="29">
        <f>-C29*Inputs!B36</f>
        <v>-435.40980758721099</v>
      </c>
      <c r="D36" s="29">
        <f>-D29*Inputs!C36</f>
        <v>-433.49099936835637</v>
      </c>
      <c r="E36" s="29">
        <f>-E29*Inputs!D36</f>
        <v>-423.17051290208542</v>
      </c>
      <c r="F36" s="29">
        <f>-F29*Inputs!E36</f>
        <v>-404.48554119085742</v>
      </c>
      <c r="G36" s="29">
        <f>-G29*Inputs!F36</f>
        <v>-377.90224871072184</v>
      </c>
      <c r="H36" s="29">
        <f>-H29*Inputs!G36</f>
        <v>-344.30746240539878</v>
      </c>
    </row>
    <row r="37" spans="1:8" x14ac:dyDescent="0.35">
      <c r="A37" s="11" t="s">
        <v>103</v>
      </c>
      <c r="C37" s="29">
        <f>-Inputs!B37*(C29-B29)</f>
        <v>-327.62597335947544</v>
      </c>
      <c r="D37" s="29">
        <f>-Inputs!C37*(D29-C29)</f>
        <v>-239.31184278637991</v>
      </c>
      <c r="E37" s="29">
        <f>-Inputs!D37*(E29-D29)</f>
        <v>-210.06267608333695</v>
      </c>
      <c r="F37" s="29">
        <f>-Inputs!E37*(F29-E29)</f>
        <v>-172.69538973005407</v>
      </c>
      <c r="G37" s="29">
        <f>-Inputs!F37*(G29-F29)</f>
        <v>-128.16442339446402</v>
      </c>
      <c r="H37" s="29">
        <f>-Inputs!G37*(H29-G29)</f>
        <v>-77.898732050234187</v>
      </c>
    </row>
    <row r="38" spans="1:8" x14ac:dyDescent="0.35">
      <c r="A38" s="3" t="s">
        <v>104</v>
      </c>
      <c r="C38" s="28">
        <f t="shared" ref="C38:H38" si="9">C35+C32+C36+C37</f>
        <v>323.2306698277946</v>
      </c>
      <c r="D38" s="28">
        <f t="shared" si="9"/>
        <v>489.18337155086851</v>
      </c>
      <c r="E38" s="28">
        <f t="shared" si="9"/>
        <v>593.50708701328199</v>
      </c>
      <c r="F38" s="28">
        <f t="shared" si="9"/>
        <v>700.77355547296906</v>
      </c>
      <c r="G38" s="28">
        <f t="shared" si="9"/>
        <v>807.37652011972557</v>
      </c>
      <c r="H38" s="28">
        <f t="shared" si="9"/>
        <v>909.35229213388538</v>
      </c>
    </row>
    <row r="39" spans="1:8" x14ac:dyDescent="0.35">
      <c r="A39" s="11" t="s">
        <v>142</v>
      </c>
      <c r="B39" s="29">
        <f>SUMPRODUCT($C$38:$H$38,(1+$G$6)^(-DCF!$B$6:$G$6))-$C$38*Inputs!$B$20*(1+$G$6)^(-DCF!$B$6)+IF(Inputs!$B$21=1,$H$35*(1+$H$6)*(1-$H$6/Inputs!$B$22),$H$38*(1+$H$6))/($G$6-$H$6)/(1+$G$6)^(6-Inputs!$B$19)</f>
        <v>17300.017162109652</v>
      </c>
    </row>
    <row r="40" spans="1:8" x14ac:dyDescent="0.35">
      <c r="A40" s="3" t="s">
        <v>164</v>
      </c>
      <c r="B40" s="45">
        <f>(B39-Inputs!$B$8-Inputs!$B$9)/Inputs!$B$7/Inputs!$B$6</f>
        <v>293.47403164064281</v>
      </c>
    </row>
    <row r="42" spans="1:8" x14ac:dyDescent="0.35">
      <c r="A42" s="9" t="s">
        <v>172</v>
      </c>
      <c r="B42" s="46" t="str">
        <f>Forecast!B4</f>
        <v>2025A</v>
      </c>
      <c r="C42" s="14" t="s">
        <v>70</v>
      </c>
      <c r="D42" s="14" t="s">
        <v>71</v>
      </c>
      <c r="E42" s="14" t="s">
        <v>72</v>
      </c>
      <c r="F42" s="14" t="s">
        <v>73</v>
      </c>
      <c r="G42" s="14" t="s">
        <v>74</v>
      </c>
      <c r="H42" s="14" t="s">
        <v>75</v>
      </c>
    </row>
    <row r="43" spans="1:8" x14ac:dyDescent="0.35">
      <c r="A43" s="26" t="s">
        <v>76</v>
      </c>
      <c r="C43" s="27">
        <f>Inputs!B33+$C$7</f>
        <v>0.1363</v>
      </c>
      <c r="D43" s="27">
        <f>Inputs!C33+$C$7</f>
        <v>9.6100000000000005E-2</v>
      </c>
      <c r="E43" s="27">
        <f>Inputs!D33+$C$7</f>
        <v>8.2075000000000009E-2</v>
      </c>
      <c r="F43" s="27">
        <f>Inputs!E33+$C$7</f>
        <v>6.8049999999999999E-2</v>
      </c>
      <c r="G43" s="27">
        <f>Inputs!F33+$C$7</f>
        <v>5.4025000000000004E-2</v>
      </c>
      <c r="H43" s="27">
        <f>Inputs!G33+$C$7</f>
        <v>0.04</v>
      </c>
    </row>
    <row r="44" spans="1:8" x14ac:dyDescent="0.35">
      <c r="A44" s="3" t="s">
        <v>90</v>
      </c>
      <c r="B44" s="32">
        <f>Forecast!B6</f>
        <v>5688.7</v>
      </c>
      <c r="C44" s="28">
        <f t="shared" ref="C44:H44" si="10">B44*(1+C43)</f>
        <v>6464.06981</v>
      </c>
      <c r="D44" s="28">
        <f t="shared" si="10"/>
        <v>7085.2669187410002</v>
      </c>
      <c r="E44" s="28">
        <f t="shared" si="10"/>
        <v>7666.7902010966682</v>
      </c>
      <c r="F44" s="28">
        <f t="shared" si="10"/>
        <v>8188.5152742812961</v>
      </c>
      <c r="G44" s="28">
        <f t="shared" si="10"/>
        <v>8630.8998119743428</v>
      </c>
      <c r="H44" s="28">
        <f t="shared" si="10"/>
        <v>8976.1358044533172</v>
      </c>
    </row>
    <row r="45" spans="1:8" x14ac:dyDescent="0.35">
      <c r="A45" s="26" t="s">
        <v>77</v>
      </c>
      <c r="C45" s="27">
        <f>Inputs!B34+$D$7</f>
        <v>0.2227762019810729</v>
      </c>
      <c r="D45" s="27">
        <f>Inputs!C34+$D$7</f>
        <v>0.22147322066895048</v>
      </c>
      <c r="E45" s="27">
        <f>Inputs!D34+$D$7</f>
        <v>0.22017023935682822</v>
      </c>
      <c r="F45" s="27">
        <f>Inputs!E34+$D$7</f>
        <v>0.2188672580447058</v>
      </c>
      <c r="G45" s="27">
        <f>Inputs!F34+$D$7</f>
        <v>0.21756427673258338</v>
      </c>
      <c r="H45" s="27">
        <f>Inputs!G34+$D$7</f>
        <v>0.21626129542046102</v>
      </c>
    </row>
    <row r="46" spans="1:8" x14ac:dyDescent="0.35">
      <c r="A46" s="3" t="s">
        <v>94</v>
      </c>
      <c r="C46" s="28">
        <f t="shared" ref="C46:H46" si="11">C44*C45</f>
        <v>1440.0409216123155</v>
      </c>
      <c r="D46" s="28">
        <f t="shared" si="11"/>
        <v>1569.1968837927404</v>
      </c>
      <c r="E46" s="28">
        <f t="shared" si="11"/>
        <v>1687.9990336740386</v>
      </c>
      <c r="F46" s="28">
        <f t="shared" si="11"/>
        <v>1792.1978855391394</v>
      </c>
      <c r="G46" s="28">
        <f t="shared" si="11"/>
        <v>1877.7754751435878</v>
      </c>
      <c r="H46" s="28">
        <f t="shared" si="11"/>
        <v>1941.1907569410564</v>
      </c>
    </row>
    <row r="47" spans="1:8" x14ac:dyDescent="0.35">
      <c r="A47" s="11" t="s">
        <v>97</v>
      </c>
      <c r="C47" s="29">
        <f>C44*Inputs!B35</f>
        <v>264.20935314904722</v>
      </c>
      <c r="D47" s="29">
        <f>D44*Inputs!C35</f>
        <v>289.59987198667068</v>
      </c>
      <c r="E47" s="29">
        <f>E44*Inputs!D35</f>
        <v>313.36878147997669</v>
      </c>
      <c r="F47" s="29">
        <f>F44*Inputs!E35</f>
        <v>334.69352705968913</v>
      </c>
      <c r="G47" s="29">
        <f>G44*Inputs!F35</f>
        <v>352.77534485908882</v>
      </c>
      <c r="H47" s="29">
        <f>H44*Inputs!G35</f>
        <v>366.88635865345236</v>
      </c>
    </row>
    <row r="48" spans="1:8" x14ac:dyDescent="0.35">
      <c r="A48" s="11" t="s">
        <v>98</v>
      </c>
      <c r="C48" s="29">
        <f t="shared" ref="C48:H48" si="12">C46-C47</f>
        <v>1175.8315684632682</v>
      </c>
      <c r="D48" s="29">
        <f t="shared" si="12"/>
        <v>1279.5970118060698</v>
      </c>
      <c r="E48" s="29">
        <f t="shared" si="12"/>
        <v>1374.630252194062</v>
      </c>
      <c r="F48" s="29">
        <f t="shared" si="12"/>
        <v>1457.5043584794503</v>
      </c>
      <c r="G48" s="29">
        <f t="shared" si="12"/>
        <v>1525.0001302844989</v>
      </c>
      <c r="H48" s="29">
        <f t="shared" si="12"/>
        <v>1574.304398287604</v>
      </c>
    </row>
    <row r="49" spans="1:8" x14ac:dyDescent="0.35">
      <c r="A49" s="11" t="s">
        <v>117</v>
      </c>
      <c r="C49" s="29">
        <f>-MAX(C48,0)*Inputs!$B$10</f>
        <v>-258.68294506191904</v>
      </c>
      <c r="D49" s="29">
        <f>-MAX(D48,0)*Inputs!$B$10</f>
        <v>-281.51134259733533</v>
      </c>
      <c r="E49" s="29">
        <f>-MAX(E48,0)*Inputs!$B$10</f>
        <v>-302.41865548269362</v>
      </c>
      <c r="F49" s="29">
        <f>-MAX(F48,0)*Inputs!$B$10</f>
        <v>-320.65095886547908</v>
      </c>
      <c r="G49" s="29">
        <f>-MAX(G48,0)*Inputs!$B$10</f>
        <v>-335.50002866258978</v>
      </c>
      <c r="H49" s="29">
        <f>-MAX(H48,0)*Inputs!$B$10</f>
        <v>-346.34696762327292</v>
      </c>
    </row>
    <row r="50" spans="1:8" x14ac:dyDescent="0.35">
      <c r="A50" s="11" t="s">
        <v>101</v>
      </c>
      <c r="C50" s="29">
        <f t="shared" ref="C50:H50" si="13">C48+C49</f>
        <v>917.14862340134914</v>
      </c>
      <c r="D50" s="29">
        <f t="shared" si="13"/>
        <v>998.08566920873443</v>
      </c>
      <c r="E50" s="29">
        <f t="shared" si="13"/>
        <v>1072.2115967113684</v>
      </c>
      <c r="F50" s="29">
        <f t="shared" si="13"/>
        <v>1136.8533996139713</v>
      </c>
      <c r="G50" s="29">
        <f t="shared" si="13"/>
        <v>1189.5001016219092</v>
      </c>
      <c r="H50" s="29">
        <f t="shared" si="13"/>
        <v>1227.9574306643312</v>
      </c>
    </row>
    <row r="51" spans="1:8" x14ac:dyDescent="0.35">
      <c r="A51" s="11" t="s">
        <v>102</v>
      </c>
      <c r="C51" s="29">
        <f>-C44*Inputs!B36</f>
        <v>-443.21075370540876</v>
      </c>
      <c r="D51" s="29">
        <f>-D44*Inputs!C36</f>
        <v>-449.45861882639974</v>
      </c>
      <c r="E51" s="29">
        <f>-E44*Inputs!D36</f>
        <v>-447.0202563634262</v>
      </c>
      <c r="F51" s="29">
        <f>-F44*Inputs!E36</f>
        <v>-435.43605767686279</v>
      </c>
      <c r="G51" s="29">
        <f>-G44*Inputs!F36</f>
        <v>-414.68730139744929</v>
      </c>
      <c r="H51" s="29">
        <f>-H44*Inputs!G36</f>
        <v>-385.23067658612507</v>
      </c>
    </row>
    <row r="52" spans="1:8" x14ac:dyDescent="0.35">
      <c r="A52" s="11" t="s">
        <v>103</v>
      </c>
      <c r="C52" s="29">
        <f>-Inputs!B37*(C44-B44)</f>
        <v>-383.96749930263508</v>
      </c>
      <c r="D52" s="29">
        <f>-Inputs!C37*(D44-C44)</f>
        <v>-307.62030883986682</v>
      </c>
      <c r="E52" s="29">
        <f>-Inputs!D37*(E44-D44)</f>
        <v>-287.97360644253865</v>
      </c>
      <c r="F52" s="29">
        <f>-Inputs!E37*(F44-E44)</f>
        <v>-258.36119628411353</v>
      </c>
      <c r="G52" s="29">
        <f>-Inputs!F37*(G44-F44)</f>
        <v>-219.07131600616668</v>
      </c>
      <c r="H52" s="29">
        <f>-Inputs!G37*(H44-G44)</f>
        <v>-170.96280896133305</v>
      </c>
    </row>
    <row r="53" spans="1:8" x14ac:dyDescent="0.35">
      <c r="A53" s="3" t="s">
        <v>104</v>
      </c>
      <c r="C53" s="28">
        <f t="shared" ref="C53:H53" si="14">C50+C47+C51+C52</f>
        <v>354.17972354235263</v>
      </c>
      <c r="D53" s="28">
        <f t="shared" si="14"/>
        <v>530.60661352913871</v>
      </c>
      <c r="E53" s="28">
        <f t="shared" si="14"/>
        <v>650.58651538538027</v>
      </c>
      <c r="F53" s="28">
        <f t="shared" si="14"/>
        <v>777.74967271268429</v>
      </c>
      <c r="G53" s="28">
        <f t="shared" si="14"/>
        <v>908.516829077382</v>
      </c>
      <c r="H53" s="28">
        <f t="shared" si="14"/>
        <v>1038.6503037703255</v>
      </c>
    </row>
    <row r="54" spans="1:8" x14ac:dyDescent="0.35">
      <c r="A54" s="11" t="s">
        <v>142</v>
      </c>
      <c r="B54" s="29">
        <f>SUMPRODUCT($C$53:$H$53,(1+$G$7)^(-DCF!$B$6:$G$6))-$C$53*Inputs!$B$20*(1+$G$7)^(-DCF!$B$6)+IF(Inputs!$B$21=1,$H$50*(1+$H$7)*(1-$H$7/Inputs!$B$22),$H$53*(1+$H$7))/($G$7-$H$7)/(1+$G$7)^(6-Inputs!$B$19)</f>
        <v>23446.287313046876</v>
      </c>
    </row>
    <row r="55" spans="1:8" x14ac:dyDescent="0.35">
      <c r="A55" s="3" t="s">
        <v>164</v>
      </c>
      <c r="B55" s="45">
        <f>(B54-Inputs!$B$8-Inputs!$B$9)/Inputs!$B$7/Inputs!$B$6</f>
        <v>419.77508637267641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6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4" customWidth="1"/>
    <col min="2" max="2" width="12" customWidth="1"/>
    <col min="3" max="3" width="18" customWidth="1"/>
    <col min="4" max="5" width="14" customWidth="1"/>
    <col min="6" max="20" width="12" customWidth="1"/>
  </cols>
  <sheetData>
    <row r="1" spans="1:21" ht="18" x14ac:dyDescent="0.4">
      <c r="A1" s="1" t="s">
        <v>173</v>
      </c>
    </row>
    <row r="2" spans="1:21" x14ac:dyDescent="0.35">
      <c r="A2" s="2" t="s">
        <v>174</v>
      </c>
    </row>
    <row r="4" spans="1:21" x14ac:dyDescent="0.35">
      <c r="A4" s="13" t="s">
        <v>175</v>
      </c>
      <c r="B4" s="13" t="s">
        <v>176</v>
      </c>
      <c r="C4" s="13" t="s">
        <v>177</v>
      </c>
      <c r="D4" s="14" t="s">
        <v>178</v>
      </c>
      <c r="E4" s="14" t="s">
        <v>179</v>
      </c>
      <c r="F4" s="14" t="s">
        <v>180</v>
      </c>
      <c r="G4" s="14" t="s">
        <v>77</v>
      </c>
      <c r="H4" s="14" t="s">
        <v>181</v>
      </c>
      <c r="I4" s="14" t="s">
        <v>182</v>
      </c>
      <c r="J4" s="14" t="s">
        <v>183</v>
      </c>
      <c r="K4" s="14" t="s">
        <v>184</v>
      </c>
      <c r="L4" s="14" t="s">
        <v>185</v>
      </c>
      <c r="M4" s="14" t="s">
        <v>186</v>
      </c>
      <c r="N4" s="14" t="s">
        <v>187</v>
      </c>
      <c r="O4" s="14" t="s">
        <v>188</v>
      </c>
      <c r="P4" s="14" t="s">
        <v>189</v>
      </c>
      <c r="Q4" s="14" t="s">
        <v>190</v>
      </c>
      <c r="R4" s="14" t="s">
        <v>191</v>
      </c>
      <c r="S4" s="14" t="s">
        <v>192</v>
      </c>
      <c r="T4" s="14" t="s">
        <v>193</v>
      </c>
      <c r="U4" s="14" t="s">
        <v>194</v>
      </c>
    </row>
    <row r="5" spans="1:21" x14ac:dyDescent="0.35">
      <c r="A5" s="11" t="s">
        <v>195</v>
      </c>
      <c r="B5" s="11" t="s">
        <v>196</v>
      </c>
      <c r="C5" s="11" t="s">
        <v>197</v>
      </c>
      <c r="D5" s="18">
        <v>6742.2521767376711</v>
      </c>
      <c r="E5" s="18">
        <v>8706.3679381667425</v>
      </c>
      <c r="F5" s="19">
        <v>3.8946728474808179E-2</v>
      </c>
      <c r="G5" s="19">
        <v>0.20198946780104249</v>
      </c>
      <c r="H5" s="47">
        <v>3.135997212951267</v>
      </c>
      <c r="I5" s="47">
        <v>15.525548173829501</v>
      </c>
      <c r="J5" s="47">
        <v>20.729157900873229</v>
      </c>
      <c r="K5" s="47">
        <v>32.986533999999999</v>
      </c>
      <c r="L5" s="47">
        <v>16.242433083643679</v>
      </c>
      <c r="M5" s="47">
        <v>2.708294578794511</v>
      </c>
      <c r="N5" s="47">
        <v>13.40809799777359</v>
      </c>
      <c r="O5" s="47">
        <v>20.425262297883691</v>
      </c>
      <c r="P5" s="47">
        <v>15.093147682949811</v>
      </c>
      <c r="Q5" s="19">
        <v>0.1114347410026908</v>
      </c>
      <c r="R5" s="19">
        <v>0.35328049038818993</v>
      </c>
      <c r="S5" s="24">
        <v>0.45976026204549969</v>
      </c>
      <c r="T5" s="19">
        <v>9.9240205814626944E-3</v>
      </c>
      <c r="U5" s="19">
        <v>1.8552875695732839E-2</v>
      </c>
    </row>
    <row r="6" spans="1:21" x14ac:dyDescent="0.35">
      <c r="A6" s="11" t="s">
        <v>198</v>
      </c>
      <c r="B6" s="11" t="s">
        <v>199</v>
      </c>
      <c r="C6" s="11" t="s">
        <v>197</v>
      </c>
      <c r="D6" s="18">
        <v>2274.0987253371891</v>
      </c>
      <c r="E6" s="18">
        <v>3044.9809372984132</v>
      </c>
      <c r="F6" s="19">
        <v>0.10404169967721889</v>
      </c>
      <c r="G6" s="19">
        <v>0.1047322146394102</v>
      </c>
      <c r="H6" s="47">
        <v>0.98301690281909893</v>
      </c>
      <c r="I6" s="47">
        <v>9.386003210221384</v>
      </c>
      <c r="J6" s="47">
        <v>21.50858299507858</v>
      </c>
      <c r="K6" s="47">
        <v>34.773110000000003</v>
      </c>
      <c r="L6" s="47">
        <v>11.365418165211651</v>
      </c>
      <c r="M6" s="47">
        <v>0.91515717382654971</v>
      </c>
      <c r="N6" s="47">
        <v>8.7380676230079555</v>
      </c>
      <c r="O6" s="47">
        <v>13.614842744947079</v>
      </c>
      <c r="P6" s="47">
        <v>10.707613325259929</v>
      </c>
      <c r="Q6" s="19">
        <v>9.573699887205267E-2</v>
      </c>
      <c r="R6" s="19">
        <v>0.27151049737935651</v>
      </c>
      <c r="S6" s="24">
        <v>0.41859958546397591</v>
      </c>
      <c r="T6" s="19">
        <v>0.1020959448540751</v>
      </c>
      <c r="U6" s="19">
        <v>6.0415659739004347E-2</v>
      </c>
    </row>
    <row r="7" spans="1:21" x14ac:dyDescent="0.35">
      <c r="A7" s="11" t="s">
        <v>200</v>
      </c>
      <c r="B7" s="11" t="s">
        <v>201</v>
      </c>
      <c r="C7" s="11" t="s">
        <v>197</v>
      </c>
      <c r="D7" s="18">
        <v>2354.9247393724299</v>
      </c>
      <c r="E7" s="18">
        <v>2895.1592524133448</v>
      </c>
      <c r="F7" s="19">
        <v>-4.4524340732898682E-2</v>
      </c>
      <c r="G7" s="19">
        <v>0.24455028873639029</v>
      </c>
      <c r="H7" s="47">
        <v>2.899133318572189</v>
      </c>
      <c r="I7" s="47">
        <v>11.85495765943368</v>
      </c>
      <c r="J7" s="47">
        <v>18.349478385290379</v>
      </c>
      <c r="K7" s="47">
        <v>21.638190999999999</v>
      </c>
      <c r="L7" s="47">
        <v>14.1218940141784</v>
      </c>
      <c r="M7" s="47">
        <v>2.3353734780846991</v>
      </c>
      <c r="N7" s="47">
        <v>9.5496655929205776</v>
      </c>
      <c r="O7" s="47">
        <v>18.492091445353051</v>
      </c>
      <c r="P7" s="47">
        <v>12.98118483351084</v>
      </c>
      <c r="Q7" s="19">
        <v>0.2348607953816291</v>
      </c>
      <c r="R7" s="19">
        <v>0.4245303246600296</v>
      </c>
      <c r="S7" s="24">
        <v>0.33264747401701927</v>
      </c>
      <c r="T7" s="19">
        <v>-1.2988578014454461E-2</v>
      </c>
      <c r="U7" s="19">
        <v>1.1751045053413839E-2</v>
      </c>
    </row>
    <row r="8" spans="1:21" x14ac:dyDescent="0.35">
      <c r="A8" s="11" t="s">
        <v>202</v>
      </c>
      <c r="B8" s="11" t="s">
        <v>203</v>
      </c>
      <c r="C8" s="11" t="s">
        <v>197</v>
      </c>
      <c r="D8" s="18">
        <v>261.66466923921212</v>
      </c>
      <c r="E8" s="18">
        <v>387.42705128011499</v>
      </c>
      <c r="F8" s="19">
        <v>0.11355675486678039</v>
      </c>
      <c r="G8" s="19">
        <v>0.10676000017323579</v>
      </c>
      <c r="H8" s="47">
        <v>1.136300059603951</v>
      </c>
      <c r="I8" s="47">
        <v>10.64349997901944</v>
      </c>
      <c r="J8" s="47">
        <v>13.757959278983259</v>
      </c>
      <c r="K8" s="47"/>
      <c r="L8" s="47">
        <v>10.916825489997089</v>
      </c>
      <c r="M8" s="47">
        <v>1.023938668286452</v>
      </c>
      <c r="N8" s="47">
        <v>9.5910328458686909</v>
      </c>
      <c r="O8" s="47">
        <v>24.445240145935951</v>
      </c>
      <c r="P8" s="47">
        <v>9.0537634408602159</v>
      </c>
      <c r="Q8" s="19">
        <v>0.1004058152579457</v>
      </c>
      <c r="R8" s="19">
        <v>1.700008709705515</v>
      </c>
      <c r="S8" s="24">
        <v>6.4216291526460231E-2</v>
      </c>
      <c r="T8" s="19">
        <v>-0.21884282022888671</v>
      </c>
      <c r="U8" s="19"/>
    </row>
    <row r="10" spans="1:21" x14ac:dyDescent="0.35">
      <c r="A10" s="3" t="s">
        <v>204</v>
      </c>
      <c r="F10" s="48">
        <f t="shared" ref="F10:U10" si="0">IFERROR(AVERAGE(F5:F8),"")</f>
        <v>5.3005210571477196E-2</v>
      </c>
      <c r="G10" s="48">
        <f t="shared" si="0"/>
        <v>0.16450799283751971</v>
      </c>
      <c r="H10" s="49">
        <f t="shared" si="0"/>
        <v>2.0386118734866265</v>
      </c>
      <c r="I10" s="49">
        <f t="shared" si="0"/>
        <v>11.852502255626</v>
      </c>
      <c r="J10" s="49">
        <f t="shared" si="0"/>
        <v>18.586294640056362</v>
      </c>
      <c r="K10" s="49">
        <f t="shared" si="0"/>
        <v>29.799278333333337</v>
      </c>
      <c r="L10" s="49">
        <f t="shared" si="0"/>
        <v>13.161642688257704</v>
      </c>
      <c r="M10" s="49">
        <f t="shared" si="0"/>
        <v>1.7456909747480529</v>
      </c>
      <c r="N10" s="49">
        <f t="shared" si="0"/>
        <v>10.321716014892703</v>
      </c>
      <c r="O10" s="49">
        <f t="shared" si="0"/>
        <v>19.244359158529946</v>
      </c>
      <c r="P10" s="49">
        <f t="shared" si="0"/>
        <v>11.958927320645198</v>
      </c>
      <c r="Q10" s="48">
        <f t="shared" si="0"/>
        <v>0.13560958762857955</v>
      </c>
      <c r="R10" s="48">
        <f t="shared" si="0"/>
        <v>0.68733250553327274</v>
      </c>
      <c r="S10" s="50">
        <f t="shared" si="0"/>
        <v>0.31880590326323877</v>
      </c>
      <c r="T10" s="48">
        <f t="shared" si="0"/>
        <v>-2.9952858201950847E-2</v>
      </c>
      <c r="U10" s="48">
        <f t="shared" si="0"/>
        <v>3.023986016271701E-2</v>
      </c>
    </row>
    <row r="11" spans="1:21" x14ac:dyDescent="0.35">
      <c r="A11" s="3" t="s">
        <v>205</v>
      </c>
      <c r="F11" s="40">
        <f t="shared" ref="F11:U11" si="1">IFERROR(MEDIAN(F5:F8),"")</f>
        <v>7.1494214076013529E-2</v>
      </c>
      <c r="G11" s="40">
        <f t="shared" si="1"/>
        <v>0.15437473398713913</v>
      </c>
      <c r="H11" s="51">
        <f t="shared" si="1"/>
        <v>2.0177166890880702</v>
      </c>
      <c r="I11" s="51">
        <f t="shared" si="1"/>
        <v>11.249228819226559</v>
      </c>
      <c r="J11" s="51">
        <f t="shared" si="1"/>
        <v>19.539318143081804</v>
      </c>
      <c r="K11" s="51">
        <f t="shared" si="1"/>
        <v>32.986533999999999</v>
      </c>
      <c r="L11" s="51">
        <f t="shared" si="1"/>
        <v>12.743656089695026</v>
      </c>
      <c r="M11" s="51">
        <f t="shared" si="1"/>
        <v>1.6796560731855754</v>
      </c>
      <c r="N11" s="51">
        <f t="shared" si="1"/>
        <v>9.5703492193946342</v>
      </c>
      <c r="O11" s="51">
        <f t="shared" si="1"/>
        <v>19.458676871618373</v>
      </c>
      <c r="P11" s="51">
        <f t="shared" si="1"/>
        <v>11.844399079385385</v>
      </c>
      <c r="Q11" s="40">
        <f t="shared" si="1"/>
        <v>0.10592027813031825</v>
      </c>
      <c r="R11" s="40">
        <f t="shared" si="1"/>
        <v>0.38890540752410974</v>
      </c>
      <c r="S11" s="45">
        <f t="shared" si="1"/>
        <v>0.37562352974049762</v>
      </c>
      <c r="T11" s="40">
        <f t="shared" si="1"/>
        <v>-1.5322787164958832E-3</v>
      </c>
      <c r="U11" s="40">
        <f t="shared" si="1"/>
        <v>1.8552875695732839E-2</v>
      </c>
    </row>
    <row r="12" spans="1:21" x14ac:dyDescent="0.35">
      <c r="A12" s="3" t="s">
        <v>206</v>
      </c>
      <c r="F12" s="40">
        <f t="shared" ref="F12:U12" si="2">IFERROR(QUARTILE(F5:F8,1),"")</f>
        <v>1.8078961172881464E-2</v>
      </c>
      <c r="G12" s="40">
        <f t="shared" si="2"/>
        <v>0.10625305378977939</v>
      </c>
      <c r="H12" s="51">
        <f t="shared" si="2"/>
        <v>1.097979270407738</v>
      </c>
      <c r="I12" s="51">
        <f t="shared" si="2"/>
        <v>10.329125786819926</v>
      </c>
      <c r="J12" s="51">
        <f t="shared" si="2"/>
        <v>17.201598608713599</v>
      </c>
      <c r="K12" s="51">
        <f t="shared" si="2"/>
        <v>27.312362499999999</v>
      </c>
      <c r="L12" s="51">
        <f t="shared" si="2"/>
        <v>11.25326999640801</v>
      </c>
      <c r="M12" s="51">
        <f t="shared" si="2"/>
        <v>0.99674329467147638</v>
      </c>
      <c r="N12" s="51">
        <f t="shared" si="2"/>
        <v>9.346766100442423</v>
      </c>
      <c r="O12" s="51">
        <f t="shared" si="2"/>
        <v>17.272779270251558</v>
      </c>
      <c r="P12" s="51">
        <f t="shared" si="2"/>
        <v>10.294150854160002</v>
      </c>
      <c r="Q12" s="40">
        <f t="shared" si="2"/>
        <v>9.9238611161472451E-2</v>
      </c>
      <c r="R12" s="40">
        <f t="shared" si="2"/>
        <v>0.33283799213598159</v>
      </c>
      <c r="S12" s="45">
        <f t="shared" si="2"/>
        <v>0.26553967839437953</v>
      </c>
      <c r="T12" s="40">
        <f t="shared" si="2"/>
        <v>-6.4452138568062534E-2</v>
      </c>
      <c r="U12" s="40">
        <f t="shared" si="2"/>
        <v>1.515196037457334E-2</v>
      </c>
    </row>
    <row r="13" spans="1:21" x14ac:dyDescent="0.35">
      <c r="A13" s="3" t="s">
        <v>207</v>
      </c>
      <c r="F13" s="40">
        <f t="shared" ref="F13:U13" si="3">IFERROR(QUARTILE(F5:F8,3),"")</f>
        <v>0.10642046347460926</v>
      </c>
      <c r="G13" s="40">
        <f t="shared" si="3"/>
        <v>0.21262967303487945</v>
      </c>
      <c r="H13" s="51">
        <f t="shared" si="3"/>
        <v>2.9583492921669583</v>
      </c>
      <c r="I13" s="51">
        <f t="shared" si="3"/>
        <v>12.772605288032635</v>
      </c>
      <c r="J13" s="51">
        <f t="shared" si="3"/>
        <v>20.924014174424567</v>
      </c>
      <c r="K13" s="51">
        <f t="shared" si="3"/>
        <v>33.879822000000004</v>
      </c>
      <c r="L13" s="51">
        <f t="shared" si="3"/>
        <v>14.65202878154472</v>
      </c>
      <c r="M13" s="51">
        <f t="shared" si="3"/>
        <v>2.4286037532621521</v>
      </c>
      <c r="N13" s="51">
        <f t="shared" si="3"/>
        <v>10.545299133844916</v>
      </c>
      <c r="O13" s="51">
        <f t="shared" si="3"/>
        <v>21.430256759896757</v>
      </c>
      <c r="P13" s="51">
        <f t="shared" si="3"/>
        <v>13.509175545870583</v>
      </c>
      <c r="Q13" s="40">
        <f t="shared" si="3"/>
        <v>0.14229125459742537</v>
      </c>
      <c r="R13" s="40">
        <f t="shared" si="3"/>
        <v>0.74339992092140095</v>
      </c>
      <c r="S13" s="45">
        <f t="shared" si="3"/>
        <v>0.42888975460935685</v>
      </c>
      <c r="T13" s="40">
        <f t="shared" si="3"/>
        <v>3.2967001649615794E-2</v>
      </c>
      <c r="U13" s="40">
        <f t="shared" si="3"/>
        <v>3.9484267717368599E-2</v>
      </c>
    </row>
    <row r="16" spans="1:21" x14ac:dyDescent="0.35">
      <c r="A16" s="9" t="s">
        <v>208</v>
      </c>
      <c r="D16" s="13" t="s">
        <v>209</v>
      </c>
      <c r="E16" s="14" t="s">
        <v>210</v>
      </c>
      <c r="F16" s="14" t="s">
        <v>211</v>
      </c>
      <c r="G16" s="14" t="s">
        <v>212</v>
      </c>
      <c r="H16" s="14" t="s">
        <v>165</v>
      </c>
    </row>
    <row r="17" spans="1:8" x14ac:dyDescent="0.35">
      <c r="A17" s="11" t="s">
        <v>213</v>
      </c>
      <c r="B17" s="29">
        <f>(Inputs!$B$5*Inputs!$B$6)*Inputs!$B$7</f>
        <v>9426.1487424822444</v>
      </c>
      <c r="D17" s="11" t="s">
        <v>181</v>
      </c>
      <c r="E17" s="30">
        <f>IF(B19&lt;=0,"n.m.",B18/B19)</f>
        <v>2.0348357929432361</v>
      </c>
      <c r="F17" s="30">
        <f>H11</f>
        <v>2.0177166890880702</v>
      </c>
      <c r="G17" s="41">
        <f>IF(B19&lt;=0,"",(H11*B19-Inputs!$B$8-Inputs!$B$9)/Inputs!$B$7/Inputs!$B$6)</f>
        <v>191.54855804541521</v>
      </c>
      <c r="H17" s="35">
        <f>IF(G17="","",G17/Inputs!$B$5-1)</f>
        <v>-1.1107082883762387E-2</v>
      </c>
    </row>
    <row r="18" spans="1:8" x14ac:dyDescent="0.35">
      <c r="A18" s="11" t="s">
        <v>142</v>
      </c>
      <c r="B18" s="29">
        <f>B17+Inputs!$B$8+Inputs!$B$9</f>
        <v>12444.648742482244</v>
      </c>
      <c r="D18" s="11" t="s">
        <v>182</v>
      </c>
      <c r="E18" s="30">
        <f>IF(B20&lt;=0,"n.m.",B18/B20)</f>
        <v>10.378799994485339</v>
      </c>
      <c r="F18" s="30">
        <f>I11</f>
        <v>11.249228819226559</v>
      </c>
      <c r="G18" s="41">
        <f>IF(B20&lt;=0,"",(I11*B20-Inputs!$B$8-Inputs!$B$9)/Inputs!$B$7/Inputs!$B$6)</f>
        <v>215.14687875695537</v>
      </c>
      <c r="H18" s="35">
        <f>IF(G18="","",G18/Inputs!$B$5-1)</f>
        <v>0.11072214123363655</v>
      </c>
    </row>
    <row r="19" spans="1:8" x14ac:dyDescent="0.35">
      <c r="A19" s="11" t="s">
        <v>214</v>
      </c>
      <c r="B19" s="18">
        <v>6115.8</v>
      </c>
      <c r="D19" s="11" t="s">
        <v>183</v>
      </c>
      <c r="E19" s="30">
        <f>IF(B21&lt;=0,"n.m.",B18/B21)</f>
        <v>13.162936155063438</v>
      </c>
      <c r="F19" s="30">
        <f>J11</f>
        <v>19.539318143081804</v>
      </c>
      <c r="G19" s="41">
        <f>IF(B21&lt;=0,"",(J11*B21-Inputs!$B$8-Inputs!$B$9)/Inputs!$B$7/Inputs!$B$6)</f>
        <v>317.57952361130225</v>
      </c>
      <c r="H19" s="35">
        <f>IF(G19="","",G19/Inputs!$B$5-1)</f>
        <v>0.63954322979505562</v>
      </c>
    </row>
    <row r="20" spans="1:8" x14ac:dyDescent="0.35">
      <c r="A20" s="11" t="s">
        <v>215</v>
      </c>
      <c r="B20" s="18">
        <v>1199.0450484732889</v>
      </c>
      <c r="D20" s="11" t="s">
        <v>184</v>
      </c>
      <c r="E20" s="30">
        <f>IF(B22&lt;=0,"n.m.",(Inputs!$B$5*Inputs!$B$6)/B22)</f>
        <v>14.696509863429434</v>
      </c>
      <c r="F20" s="30">
        <f>K11</f>
        <v>32.986533999999999</v>
      </c>
      <c r="G20" s="41">
        <f>IF(B22&lt;=0,"",K11*B22/Inputs!$B$6)</f>
        <v>434.76251812000004</v>
      </c>
      <c r="H20" s="35">
        <f>IF(G20="","",G20/Inputs!$B$5-1)</f>
        <v>1.2445148070211669</v>
      </c>
    </row>
    <row r="21" spans="1:8" x14ac:dyDescent="0.35">
      <c r="A21" s="11" t="s">
        <v>216</v>
      </c>
      <c r="B21" s="18">
        <v>945.43106461054379</v>
      </c>
    </row>
    <row r="22" spans="1:8" x14ac:dyDescent="0.35">
      <c r="A22" s="11" t="s">
        <v>217</v>
      </c>
      <c r="B22" s="24">
        <v>1.2163821884989741</v>
      </c>
    </row>
    <row r="24" spans="1:8" x14ac:dyDescent="0.35">
      <c r="A24" s="2" t="s">
        <v>218</v>
      </c>
    </row>
    <row r="26" spans="1:8" x14ac:dyDescent="0.35">
      <c r="A26" s="9" t="s">
        <v>219</v>
      </c>
    </row>
    <row r="27" spans="1:8" x14ac:dyDescent="0.35">
      <c r="A27" s="11" t="s">
        <v>220</v>
      </c>
      <c r="B27" s="24">
        <v>11.31723979954168</v>
      </c>
    </row>
    <row r="28" spans="1:8" x14ac:dyDescent="0.35">
      <c r="A28" s="11" t="s">
        <v>221</v>
      </c>
      <c r="B28" s="24">
        <v>3.947084165983604</v>
      </c>
    </row>
    <row r="29" spans="1:8" x14ac:dyDescent="0.35">
      <c r="A29" s="11" t="s">
        <v>222</v>
      </c>
      <c r="B29" s="24">
        <v>0</v>
      </c>
    </row>
    <row r="30" spans="1:8" x14ac:dyDescent="0.35">
      <c r="A30" s="11" t="s">
        <v>223</v>
      </c>
      <c r="B30" s="24">
        <v>9.8234452436368747E-3</v>
      </c>
    </row>
    <row r="31" spans="1:8" x14ac:dyDescent="0.35">
      <c r="A31" s="11" t="s">
        <v>224</v>
      </c>
      <c r="B31" s="24">
        <v>3.227222082206302</v>
      </c>
    </row>
    <row r="32" spans="1:8" x14ac:dyDescent="0.35">
      <c r="A32" s="11" t="s">
        <v>225</v>
      </c>
      <c r="B32" s="22">
        <v>4</v>
      </c>
    </row>
    <row r="33" spans="1:3" x14ac:dyDescent="0.35">
      <c r="A33" s="11" t="s">
        <v>226</v>
      </c>
      <c r="B33" s="19">
        <v>7.6103729640601525E-2</v>
      </c>
    </row>
    <row r="34" spans="1:3" x14ac:dyDescent="0.35">
      <c r="A34" s="11" t="s">
        <v>227</v>
      </c>
      <c r="B34" s="35">
        <f>IF(B19&gt;0,B20/B19,0)</f>
        <v>0.19605694242344238</v>
      </c>
    </row>
    <row r="35" spans="1:3" x14ac:dyDescent="0.35">
      <c r="A35" s="3" t="s">
        <v>228</v>
      </c>
      <c r="B35" s="51">
        <f>B27+B28*B33+B29*B34</f>
        <v>11.617627625778395</v>
      </c>
      <c r="C35" s="2" t="s">
        <v>229</v>
      </c>
    </row>
    <row r="36" spans="1:3" x14ac:dyDescent="0.35">
      <c r="A36" s="3" t="s">
        <v>230</v>
      </c>
      <c r="B36" s="45">
        <f>IF(B20&lt;=0,"",(B35*B20-Inputs!$B$8-Inputs!$B$9)/Inputs!$B$7/Inputs!$B$6)</f>
        <v>224.22401902821565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workbookViewId="0"/>
  </sheetViews>
  <sheetFormatPr defaultRowHeight="14.5" x14ac:dyDescent="0.35"/>
  <cols>
    <col min="1" max="1" width="34" customWidth="1"/>
    <col min="2" max="4" width="12" customWidth="1"/>
  </cols>
  <sheetData>
    <row r="1" spans="1:4" ht="18" x14ac:dyDescent="0.4">
      <c r="A1" s="1" t="s">
        <v>231</v>
      </c>
    </row>
    <row r="2" spans="1:4" x14ac:dyDescent="0.35">
      <c r="A2" s="2" t="s">
        <v>232</v>
      </c>
    </row>
    <row r="4" spans="1:4" x14ac:dyDescent="0.35">
      <c r="A4" s="13" t="s">
        <v>233</v>
      </c>
      <c r="B4" s="14" t="s">
        <v>234</v>
      </c>
      <c r="C4" s="14" t="s">
        <v>235</v>
      </c>
      <c r="D4" s="14" t="s">
        <v>236</v>
      </c>
    </row>
    <row r="5" spans="1:4" x14ac:dyDescent="0.35">
      <c r="A5" s="11" t="s">
        <v>237</v>
      </c>
      <c r="B5" s="24">
        <v>179.4</v>
      </c>
      <c r="C5" s="24">
        <v>245.8</v>
      </c>
      <c r="D5" s="41">
        <f>IFERROR(C5-B5,"")</f>
        <v>66.400000000000006</v>
      </c>
    </row>
    <row r="6" spans="1:4" x14ac:dyDescent="0.35">
      <c r="A6" s="11" t="s">
        <v>238</v>
      </c>
      <c r="B6" s="41">
        <f>MIN(DCF!D40:F42)</f>
        <v>244.54910260192798</v>
      </c>
      <c r="C6" s="41">
        <f>MAX(DCF!D40:F42)</f>
        <v>361.35636710114829</v>
      </c>
      <c r="D6" s="41">
        <f>IFERROR(C6-B6,"")</f>
        <v>116.80726449922031</v>
      </c>
    </row>
    <row r="7" spans="1:4" x14ac:dyDescent="0.35">
      <c r="A7" s="11" t="s">
        <v>239</v>
      </c>
      <c r="B7" s="41">
        <f>(Peers!I12*Peers!B20-Inputs!$B$8-Inputs!$B$9)/Inputs!$B$7/Inputs!$B$6</f>
        <v>192.47605534322159</v>
      </c>
      <c r="C7" s="41">
        <f>(Peers!I13*Peers!B20-Inputs!$B$8-Inputs!$B$9)/Inputs!$B$7/Inputs!$B$6</f>
        <v>252.68202177958685</v>
      </c>
      <c r="D7" s="41">
        <f>IFERROR(C7-B7,"")</f>
        <v>60.205966436365259</v>
      </c>
    </row>
    <row r="8" spans="1:4" x14ac:dyDescent="0.35">
      <c r="A8" s="11" t="s">
        <v>240</v>
      </c>
      <c r="B8" s="41">
        <f>(Peers!J12*Peers!B21-Inputs!$B$8-Inputs!$B$9)/Inputs!$B$7/Inputs!$B$6</f>
        <v>272.16261119944591</v>
      </c>
      <c r="C8" s="41">
        <f>(Peers!J13*Peers!B21-Inputs!$B$8-Inputs!$B$9)/Inputs!$B$7/Inputs!$B$6</f>
        <v>344.48121880953988</v>
      </c>
      <c r="D8" s="41">
        <f>IFERROR(C8-B8,"")</f>
        <v>72.318607610093977</v>
      </c>
    </row>
    <row r="9" spans="1:4" x14ac:dyDescent="0.35">
      <c r="A9" s="11" t="s">
        <v>241</v>
      </c>
      <c r="B9" s="41">
        <f>Peers!K12*Peers!B22/Inputs!$B$6</f>
        <v>359.97693775000005</v>
      </c>
      <c r="C9" s="41">
        <f>Peers!K13*Peers!B22/Inputs!$B$6</f>
        <v>446.53605396000012</v>
      </c>
      <c r="D9" s="41">
        <f>IFERROR(C9-B9,"")</f>
        <v>86.55911621000007</v>
      </c>
    </row>
    <row r="11" spans="1:4" x14ac:dyDescent="0.35">
      <c r="A11" s="11" t="s">
        <v>147</v>
      </c>
      <c r="B11" s="4">
        <f>Inputs!$B$5</f>
        <v>193.7</v>
      </c>
    </row>
    <row r="12" spans="1:4" x14ac:dyDescent="0.35">
      <c r="A12" s="11" t="s">
        <v>5</v>
      </c>
      <c r="B12" s="52">
        <f>DCF!$B$30</f>
        <v>308.5</v>
      </c>
    </row>
    <row r="13" spans="1:4" x14ac:dyDescent="0.35">
      <c r="A13" s="11" t="s">
        <v>8</v>
      </c>
      <c r="B13" s="53" t="str">
        <f>DCF!$B$33</f>
        <v>BUY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7"/>
  <sheetViews>
    <sheetView workbookViewId="0"/>
  </sheetViews>
  <sheetFormatPr defaultRowHeight="14.5" x14ac:dyDescent="0.35"/>
  <cols>
    <col min="1" max="1" width="62" customWidth="1"/>
    <col min="2" max="2" width="12" customWidth="1"/>
    <col min="3" max="3" width="60" customWidth="1"/>
  </cols>
  <sheetData>
    <row r="1" spans="1:3" ht="18" x14ac:dyDescent="0.4">
      <c r="A1" s="1" t="s">
        <v>242</v>
      </c>
    </row>
    <row r="2" spans="1:3" x14ac:dyDescent="0.35">
      <c r="A2" s="2" t="s">
        <v>243</v>
      </c>
    </row>
    <row r="4" spans="1:3" x14ac:dyDescent="0.35">
      <c r="A4" s="13" t="s">
        <v>244</v>
      </c>
      <c r="B4" s="14" t="s">
        <v>245</v>
      </c>
      <c r="C4" s="13" t="s">
        <v>246</v>
      </c>
    </row>
    <row r="5" spans="1:3" x14ac:dyDescent="0.35">
      <c r="A5" s="11" t="s">
        <v>247</v>
      </c>
      <c r="B5" s="54" t="b">
        <f>WACC!$B$17&gt;Inputs!$B$11</f>
        <v>1</v>
      </c>
      <c r="C5" s="2" t="s">
        <v>248</v>
      </c>
    </row>
    <row r="6" spans="1:3" x14ac:dyDescent="0.35">
      <c r="A6" s="11" t="s">
        <v>249</v>
      </c>
      <c r="B6" s="54" t="b">
        <f>ABS(DCF!B16-(DCF!B10+DCF!B15))&lt;0.01</f>
        <v>1</v>
      </c>
      <c r="C6" s="2" t="s">
        <v>250</v>
      </c>
    </row>
    <row r="7" spans="1:3" x14ac:dyDescent="0.35">
      <c r="A7" s="11" t="s">
        <v>251</v>
      </c>
      <c r="B7" s="54" t="b">
        <f>ABS(DCF!B19-(DCF!B16-Inputs!$B$8-Inputs!$B$9))&lt;0.01</f>
        <v>1</v>
      </c>
      <c r="C7" s="2" t="s">
        <v>252</v>
      </c>
    </row>
    <row r="8" spans="1:3" x14ac:dyDescent="0.35">
      <c r="A8" s="11" t="s">
        <v>253</v>
      </c>
      <c r="B8" s="54" t="b">
        <f>ABS(DCF!E41-DCF!B21)&lt;0.01</f>
        <v>1</v>
      </c>
      <c r="C8" s="2" t="s">
        <v>254</v>
      </c>
    </row>
    <row r="9" spans="1:3" x14ac:dyDescent="0.35">
      <c r="A9" s="11" t="s">
        <v>255</v>
      </c>
      <c r="B9" s="54" t="b">
        <f>ABS(Scenarios!I6-DCF!B21)&lt;0.01</f>
        <v>1</v>
      </c>
      <c r="C9" s="2" t="s">
        <v>256</v>
      </c>
    </row>
    <row r="10" spans="1:3" x14ac:dyDescent="0.35">
      <c r="A10" s="11" t="s">
        <v>257</v>
      </c>
      <c r="B10" s="54" t="b">
        <f>Forecast!B6=Historicals!E5</f>
        <v>1</v>
      </c>
      <c r="C10" s="2" t="s">
        <v>258</v>
      </c>
    </row>
    <row r="11" spans="1:3" x14ac:dyDescent="0.35">
      <c r="A11" s="11" t="s">
        <v>259</v>
      </c>
      <c r="B11" s="54" t="b">
        <f>ABS(WACC!B15+WACC!B16-1)&lt;0.000001</f>
        <v>1</v>
      </c>
      <c r="C11" s="2" t="s">
        <v>260</v>
      </c>
    </row>
    <row r="12" spans="1:3" x14ac:dyDescent="0.35">
      <c r="A12" s="11" t="s">
        <v>261</v>
      </c>
      <c r="B12" s="54" t="b">
        <f>ABS(Scenarios!B8-1)&lt;0.000001</f>
        <v>1</v>
      </c>
      <c r="C12" s="2" t="s">
        <v>262</v>
      </c>
    </row>
    <row r="13" spans="1:3" x14ac:dyDescent="0.35">
      <c r="A13" s="11" t="s">
        <v>263</v>
      </c>
      <c r="B13" s="54" t="b">
        <f>AND(Inputs!$B$5&gt;0,Inputs!$B$7&gt;0,Inputs!$B$6&gt;0)</f>
        <v>1</v>
      </c>
      <c r="C13" s="2" t="s">
        <v>264</v>
      </c>
    </row>
    <row r="14" spans="1:3" x14ac:dyDescent="0.35">
      <c r="A14" s="11" t="s">
        <v>265</v>
      </c>
      <c r="B14" s="54" t="b">
        <f>DCF!B24&lt;0.85</f>
        <v>1</v>
      </c>
      <c r="C14" s="2" t="s">
        <v>266</v>
      </c>
    </row>
    <row r="15" spans="1:3" x14ac:dyDescent="0.35">
      <c r="A15" s="11" t="s">
        <v>267</v>
      </c>
      <c r="B15" s="54" t="b">
        <f>SUMPRODUCT(--ISERROR(Forecast!B5:I20))+SUMPRODUCT(--ISERROR(DCF!B5:G33))+SUMPRODUCT(--ISERROR(Scenarios!B5:J8))=0</f>
        <v>1</v>
      </c>
      <c r="C15" s="2" t="s">
        <v>268</v>
      </c>
    </row>
    <row r="17" spans="1:2" x14ac:dyDescent="0.35">
      <c r="A17" s="3" t="s">
        <v>269</v>
      </c>
      <c r="B17" s="55" t="str">
        <f>IF(AND(B5:B15),"ALL OK","CHECK")</f>
        <v>ALL OK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Inputs</vt:lpstr>
      <vt:lpstr>Historicals</vt:lpstr>
      <vt:lpstr>Forecast</vt:lpstr>
      <vt:lpstr>WACC</vt:lpstr>
      <vt:lpstr>DCF</vt:lpstr>
      <vt:lpstr>Scenarios</vt:lpstr>
      <vt:lpstr>Peers</vt:lpstr>
      <vt:lpstr>Football field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Schjelderup</cp:lastModifiedBy>
  <dcterms:created xsi:type="dcterms:W3CDTF">2026-09-23T12:59:09Z</dcterms:created>
  <dcterms:modified xsi:type="dcterms:W3CDTF">2026-09-23T12:59:12Z</dcterms:modified>
</cp:coreProperties>
</file>